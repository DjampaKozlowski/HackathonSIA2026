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Z:\ENSAYOS\Ensayos 2024\IGS\SI24BT004IGS Grapevine\"/>
    </mc:Choice>
  </mc:AlternateContent>
  <xr:revisionPtr revIDLastSave="0" documentId="13_ncr:1_{64C8818A-C792-4FAD-9EAE-05BF7A4134EF}" xr6:coauthVersionLast="47" xr6:coauthVersionMax="47" xr10:uidLastSave="{00000000-0000-0000-0000-000000000000}"/>
  <bookViews>
    <workbookView xWindow="-120" yWindow="-120" windowWidth="29040" windowHeight="15720" tabRatio="867" firstSheet="5" activeTab="5" xr2:uid="{00000000-000D-0000-FFFF-FFFF00000000}"/>
  </bookViews>
  <sheets>
    <sheet name="Calendar" sheetId="33" r:id="rId1"/>
    <sheet name="Data" sheetId="1" r:id="rId2"/>
    <sheet name="1A" sheetId="4" r:id="rId3"/>
    <sheet name="3A " sheetId="78" r:id="rId4"/>
    <sheet name="2A" sheetId="68" r:id="rId5"/>
    <sheet name="VIGOR" sheetId="75" r:id="rId6"/>
    <sheet name="SHOOT LENGHT" sheetId="64" r:id="rId7"/>
    <sheet name="LEAF AREA" sheetId="71" r:id="rId8"/>
    <sheet name="SPAD" sheetId="74" r:id="rId9"/>
    <sheet name="BUD BREAK" sheetId="76" r:id="rId10"/>
    <sheet name="WEIGHT" sheetId="65" r:id="rId11"/>
    <sheet name="Datos climáticos" sheetId="77" r:id="rId12"/>
  </sheets>
  <externalReferences>
    <externalReference r:id="rId13"/>
    <externalReference r:id="rId14"/>
    <externalReference r:id="rId15"/>
  </externalReferences>
  <definedNames>
    <definedName name="appl_band_height">'[1]calculation - OVERAGE setting'!$B$6</definedName>
    <definedName name="crop">'[1]calculation - OVERAGE setting'!$B$8</definedName>
    <definedName name="limit_spv_ha">'[1]calculation - OVERAGE setting'!$B$11</definedName>
    <definedName name="LWA_per_ha">'[1]calculation - OVERAGE setting'!$B$17</definedName>
    <definedName name="max_LWA_ha">'[1]calculation - OVERAGE setting'!$B$9</definedName>
    <definedName name="max_spv_ha">'[1]calculation - OVERAGE setting'!$D$10</definedName>
    <definedName name="min_spv_ha">'[1]calculation - OVERAGE setting'!$B$10</definedName>
    <definedName name="mix_size">'[1]calculation - OVERAGE setting'!$B$21</definedName>
    <definedName name="n_replicates">'[1]calculation - OVERAGE setting'!$B$2</definedName>
    <definedName name="n_replicates_2">'[2]calculation - MIX SIZE setting1'!$B$2</definedName>
    <definedName name="number_of_rows">'[1]calculation - OVERAGE setting'!$B$14</definedName>
    <definedName name="overage">'[1]calculation - OVERAGE setting'!$L$2</definedName>
    <definedName name="plot_length">'[1]calculation - OVERAGE setting'!$B$3</definedName>
    <definedName name="plot_size_ground">'[1]calculation - OVERAGE setting'!$B$13</definedName>
    <definedName name="plot_width">'[1]calculation - OVERAGE setting'!$B$4</definedName>
    <definedName name="product_rate">'[1]calculation - OVERAGE setting'!$I$4:$I$24</definedName>
    <definedName name="row_spacing">'[1]calculation - OVERAGE setting'!$B$5</definedName>
    <definedName name="spv_real">'[1]calculation - OVERAGE setting'!$B$20</definedName>
    <definedName name="XN">[3]cfg!$B$1</definedName>
    <definedName name="YN">[3]cfg!$B$2</definedName>
    <definedName name="ZN">[3]cfg!$B$3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75" l="1"/>
  <c r="U4" i="75"/>
  <c r="T5" i="75"/>
  <c r="T4" i="75"/>
  <c r="S5" i="75"/>
  <c r="S4" i="75"/>
  <c r="D12" i="33"/>
  <c r="D13" i="33"/>
  <c r="J7" i="64"/>
  <c r="K7" i="64"/>
  <c r="I7" i="64"/>
  <c r="C45" i="76" l="1"/>
  <c r="C42" i="76"/>
  <c r="C32" i="76"/>
  <c r="C7" i="76"/>
  <c r="B171" i="74"/>
  <c r="B172" i="74" s="1"/>
  <c r="B173" i="74" s="1"/>
  <c r="B174" i="74" s="1"/>
  <c r="B175" i="74" s="1"/>
  <c r="B176" i="74" s="1"/>
  <c r="B177" i="74" s="1"/>
  <c r="B178" i="74" s="1"/>
  <c r="B179" i="74" s="1"/>
  <c r="B180" i="74" s="1"/>
  <c r="B181" i="74" s="1"/>
  <c r="B182" i="74" s="1"/>
  <c r="B183" i="74" s="1"/>
  <c r="B184" i="74" s="1"/>
  <c r="B156" i="74"/>
  <c r="B157" i="74" s="1"/>
  <c r="B158" i="74" s="1"/>
  <c r="B159" i="74" s="1"/>
  <c r="B160" i="74" s="1"/>
  <c r="B161" i="74" s="1"/>
  <c r="B162" i="74" s="1"/>
  <c r="B163" i="74" s="1"/>
  <c r="B164" i="74" s="1"/>
  <c r="B165" i="74" s="1"/>
  <c r="B166" i="74" s="1"/>
  <c r="B167" i="74" s="1"/>
  <c r="B168" i="74" s="1"/>
  <c r="B169" i="74" s="1"/>
  <c r="B141" i="74"/>
  <c r="B142" i="74" s="1"/>
  <c r="B143" i="74" s="1"/>
  <c r="B144" i="74" s="1"/>
  <c r="B145" i="74" s="1"/>
  <c r="B146" i="74" s="1"/>
  <c r="B147" i="74" s="1"/>
  <c r="B148" i="74" s="1"/>
  <c r="B149" i="74" s="1"/>
  <c r="B150" i="74" s="1"/>
  <c r="B151" i="74" s="1"/>
  <c r="B152" i="74" s="1"/>
  <c r="B153" i="74" s="1"/>
  <c r="B154" i="74" s="1"/>
  <c r="B126" i="74"/>
  <c r="B127" i="74" s="1"/>
  <c r="B128" i="74" s="1"/>
  <c r="B129" i="74" s="1"/>
  <c r="B130" i="74" s="1"/>
  <c r="B131" i="74" s="1"/>
  <c r="B132" i="74" s="1"/>
  <c r="B133" i="74" s="1"/>
  <c r="B134" i="74" s="1"/>
  <c r="B135" i="74" s="1"/>
  <c r="B136" i="74" s="1"/>
  <c r="B137" i="74" s="1"/>
  <c r="B138" i="74" s="1"/>
  <c r="B139" i="74" s="1"/>
  <c r="B111" i="74"/>
  <c r="B112" i="74" s="1"/>
  <c r="B113" i="74" s="1"/>
  <c r="B114" i="74" s="1"/>
  <c r="B115" i="74" s="1"/>
  <c r="B116" i="74" s="1"/>
  <c r="B117" i="74" s="1"/>
  <c r="B118" i="74" s="1"/>
  <c r="B119" i="74" s="1"/>
  <c r="B120" i="74" s="1"/>
  <c r="B121" i="74" s="1"/>
  <c r="B122" i="74" s="1"/>
  <c r="B123" i="74" s="1"/>
  <c r="B124" i="74" s="1"/>
  <c r="B96" i="74"/>
  <c r="B97" i="74" s="1"/>
  <c r="B98" i="74" s="1"/>
  <c r="B99" i="74" s="1"/>
  <c r="B100" i="74" s="1"/>
  <c r="B101" i="74" s="1"/>
  <c r="B102" i="74" s="1"/>
  <c r="B103" i="74" s="1"/>
  <c r="B104" i="74" s="1"/>
  <c r="B105" i="74" s="1"/>
  <c r="B106" i="74" s="1"/>
  <c r="B107" i="74" s="1"/>
  <c r="B108" i="74" s="1"/>
  <c r="B109" i="74" s="1"/>
  <c r="B81" i="74"/>
  <c r="B82" i="74" s="1"/>
  <c r="B83" i="74" s="1"/>
  <c r="B84" i="74" s="1"/>
  <c r="B85" i="74" s="1"/>
  <c r="B86" i="74" s="1"/>
  <c r="B87" i="74" s="1"/>
  <c r="B88" i="74" s="1"/>
  <c r="B89" i="74" s="1"/>
  <c r="B90" i="74" s="1"/>
  <c r="B91" i="74" s="1"/>
  <c r="B92" i="74" s="1"/>
  <c r="B93" i="74" s="1"/>
  <c r="B94" i="74" s="1"/>
  <c r="B66" i="74"/>
  <c r="B67" i="74" s="1"/>
  <c r="B68" i="74" s="1"/>
  <c r="B69" i="74" s="1"/>
  <c r="B70" i="74" s="1"/>
  <c r="B71" i="74" s="1"/>
  <c r="B72" i="74" s="1"/>
  <c r="B73" i="74" s="1"/>
  <c r="B74" i="74" s="1"/>
  <c r="B75" i="74" s="1"/>
  <c r="B76" i="74" s="1"/>
  <c r="B77" i="74" s="1"/>
  <c r="B78" i="74" s="1"/>
  <c r="B79" i="74" s="1"/>
  <c r="B51" i="74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36" i="74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21" i="74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171" i="71"/>
  <c r="B172" i="71" s="1"/>
  <c r="B173" i="71" s="1"/>
  <c r="B174" i="71" s="1"/>
  <c r="B175" i="71" s="1"/>
  <c r="B176" i="71" s="1"/>
  <c r="B177" i="71" s="1"/>
  <c r="B178" i="71" s="1"/>
  <c r="B179" i="71" s="1"/>
  <c r="B180" i="71" s="1"/>
  <c r="B181" i="71" s="1"/>
  <c r="B182" i="71" s="1"/>
  <c r="B183" i="71" s="1"/>
  <c r="B184" i="71" s="1"/>
  <c r="B156" i="71"/>
  <c r="B157" i="71" s="1"/>
  <c r="B158" i="71" s="1"/>
  <c r="B159" i="71" s="1"/>
  <c r="B160" i="71" s="1"/>
  <c r="B161" i="71" s="1"/>
  <c r="B162" i="71" s="1"/>
  <c r="B163" i="71" s="1"/>
  <c r="B164" i="71" s="1"/>
  <c r="B165" i="71" s="1"/>
  <c r="B166" i="71" s="1"/>
  <c r="B167" i="71" s="1"/>
  <c r="B168" i="71" s="1"/>
  <c r="B169" i="71" s="1"/>
  <c r="B141" i="71"/>
  <c r="B142" i="71" s="1"/>
  <c r="B143" i="71" s="1"/>
  <c r="B144" i="71" s="1"/>
  <c r="B145" i="71" s="1"/>
  <c r="B146" i="71" s="1"/>
  <c r="B147" i="71" s="1"/>
  <c r="B148" i="71" s="1"/>
  <c r="B149" i="71" s="1"/>
  <c r="B150" i="71" s="1"/>
  <c r="B151" i="71" s="1"/>
  <c r="B152" i="71" s="1"/>
  <c r="B153" i="71" s="1"/>
  <c r="B154" i="71" s="1"/>
  <c r="B126" i="71"/>
  <c r="B127" i="71" s="1"/>
  <c r="B128" i="71" s="1"/>
  <c r="B129" i="71" s="1"/>
  <c r="B130" i="71" s="1"/>
  <c r="B131" i="71" s="1"/>
  <c r="B132" i="71" s="1"/>
  <c r="B133" i="71" s="1"/>
  <c r="B134" i="71" s="1"/>
  <c r="B135" i="71" s="1"/>
  <c r="B136" i="71" s="1"/>
  <c r="B137" i="71" s="1"/>
  <c r="B138" i="71" s="1"/>
  <c r="B139" i="71" s="1"/>
  <c r="B111" i="71"/>
  <c r="B112" i="71" s="1"/>
  <c r="B113" i="71" s="1"/>
  <c r="B114" i="71" s="1"/>
  <c r="B115" i="71" s="1"/>
  <c r="B116" i="71" s="1"/>
  <c r="B117" i="71" s="1"/>
  <c r="B118" i="71" s="1"/>
  <c r="B119" i="71" s="1"/>
  <c r="B120" i="71" s="1"/>
  <c r="B121" i="71" s="1"/>
  <c r="B122" i="71" s="1"/>
  <c r="B123" i="71" s="1"/>
  <c r="B124" i="71" s="1"/>
  <c r="B96" i="71"/>
  <c r="B97" i="71" s="1"/>
  <c r="B98" i="71" s="1"/>
  <c r="B99" i="71" s="1"/>
  <c r="B100" i="71" s="1"/>
  <c r="B101" i="71" s="1"/>
  <c r="B102" i="71" s="1"/>
  <c r="B103" i="71" s="1"/>
  <c r="B104" i="71" s="1"/>
  <c r="B105" i="71" s="1"/>
  <c r="B106" i="71" s="1"/>
  <c r="B107" i="71" s="1"/>
  <c r="B108" i="71" s="1"/>
  <c r="B109" i="71" s="1"/>
  <c r="B81" i="71"/>
  <c r="B82" i="71" s="1"/>
  <c r="B83" i="71" s="1"/>
  <c r="B84" i="71" s="1"/>
  <c r="B85" i="71" s="1"/>
  <c r="B86" i="71" s="1"/>
  <c r="B87" i="71" s="1"/>
  <c r="B88" i="71" s="1"/>
  <c r="B89" i="71" s="1"/>
  <c r="B90" i="71" s="1"/>
  <c r="B91" i="71" s="1"/>
  <c r="B92" i="71" s="1"/>
  <c r="B93" i="71" s="1"/>
  <c r="B94" i="71" s="1"/>
  <c r="B66" i="71"/>
  <c r="B67" i="71" s="1"/>
  <c r="B68" i="71" s="1"/>
  <c r="B69" i="71" s="1"/>
  <c r="B70" i="71" s="1"/>
  <c r="B71" i="71" s="1"/>
  <c r="B72" i="71" s="1"/>
  <c r="B73" i="71" s="1"/>
  <c r="B74" i="71" s="1"/>
  <c r="B75" i="71" s="1"/>
  <c r="B76" i="71" s="1"/>
  <c r="B77" i="71" s="1"/>
  <c r="B78" i="71" s="1"/>
  <c r="B79" i="71" s="1"/>
  <c r="B51" i="71"/>
  <c r="B52" i="71" s="1"/>
  <c r="B53" i="71" s="1"/>
  <c r="B54" i="71" s="1"/>
  <c r="B55" i="71" s="1"/>
  <c r="B56" i="71" s="1"/>
  <c r="B57" i="71" s="1"/>
  <c r="B58" i="71" s="1"/>
  <c r="B59" i="71" s="1"/>
  <c r="B60" i="71" s="1"/>
  <c r="B61" i="71" s="1"/>
  <c r="B62" i="71" s="1"/>
  <c r="B63" i="71" s="1"/>
  <c r="B64" i="71" s="1"/>
  <c r="B36" i="71"/>
  <c r="B37" i="71" s="1"/>
  <c r="B38" i="71" s="1"/>
  <c r="B39" i="71" s="1"/>
  <c r="B40" i="71" s="1"/>
  <c r="B41" i="71" s="1"/>
  <c r="B42" i="71" s="1"/>
  <c r="B43" i="71" s="1"/>
  <c r="B44" i="71" s="1"/>
  <c r="B45" i="71" s="1"/>
  <c r="B46" i="71" s="1"/>
  <c r="B47" i="71" s="1"/>
  <c r="B48" i="71" s="1"/>
  <c r="B49" i="71" s="1"/>
  <c r="B21" i="71"/>
  <c r="B22" i="71" s="1"/>
  <c r="B23" i="71" s="1"/>
  <c r="B24" i="71" s="1"/>
  <c r="B25" i="71" s="1"/>
  <c r="B26" i="71" s="1"/>
  <c r="B27" i="71" s="1"/>
  <c r="B28" i="71" s="1"/>
  <c r="B29" i="71" s="1"/>
  <c r="B30" i="71" s="1"/>
  <c r="B31" i="71" s="1"/>
  <c r="B32" i="71" s="1"/>
  <c r="B33" i="71" s="1"/>
  <c r="B34" i="71" s="1"/>
  <c r="C88" i="76" l="1"/>
  <c r="C87" i="76"/>
  <c r="C86" i="76"/>
  <c r="C85" i="76"/>
  <c r="C84" i="76"/>
  <c r="C83" i="76"/>
  <c r="C82" i="76"/>
  <c r="C81" i="76"/>
  <c r="C80" i="76"/>
  <c r="C79" i="76"/>
  <c r="C78" i="76"/>
  <c r="C77" i="76"/>
  <c r="C76" i="76"/>
  <c r="C75" i="76"/>
  <c r="C74" i="76"/>
  <c r="C73" i="76"/>
  <c r="C72" i="76"/>
  <c r="C71" i="76"/>
  <c r="C70" i="76"/>
  <c r="C69" i="76"/>
  <c r="C68" i="76"/>
  <c r="C67" i="76"/>
  <c r="C66" i="76"/>
  <c r="C65" i="76"/>
  <c r="C64" i="76"/>
  <c r="C63" i="76"/>
  <c r="C62" i="76"/>
  <c r="C61" i="76"/>
  <c r="C60" i="76"/>
  <c r="C59" i="76"/>
  <c r="C58" i="76"/>
  <c r="C57" i="76"/>
  <c r="C56" i="76"/>
  <c r="C55" i="76"/>
  <c r="C54" i="76"/>
  <c r="C53" i="76"/>
  <c r="C52" i="76"/>
  <c r="C51" i="76"/>
  <c r="C50" i="76"/>
  <c r="C49" i="76"/>
  <c r="C48" i="76"/>
  <c r="C47" i="76"/>
  <c r="C46" i="76"/>
  <c r="C44" i="76"/>
  <c r="C43" i="76"/>
  <c r="C41" i="76"/>
  <c r="C40" i="76"/>
  <c r="C39" i="76"/>
  <c r="C38" i="76"/>
  <c r="C37" i="76"/>
  <c r="C36" i="76"/>
  <c r="C35" i="76"/>
  <c r="C34" i="76"/>
  <c r="C33" i="76"/>
  <c r="C31" i="76"/>
  <c r="C30" i="76"/>
  <c r="C29" i="76"/>
  <c r="C28" i="76"/>
  <c r="C27" i="76"/>
  <c r="C26" i="76"/>
  <c r="C25" i="76"/>
  <c r="C24" i="76"/>
  <c r="C23" i="76"/>
  <c r="C22" i="76"/>
  <c r="C21" i="76"/>
  <c r="C20" i="76"/>
  <c r="C19" i="76"/>
  <c r="C18" i="76"/>
  <c r="C17" i="76"/>
  <c r="C16" i="76"/>
  <c r="C15" i="76"/>
  <c r="C14" i="76"/>
  <c r="C13" i="76"/>
  <c r="C12" i="76"/>
  <c r="C11" i="76"/>
  <c r="C10" i="76"/>
  <c r="C9" i="76"/>
  <c r="C8" i="76"/>
  <c r="C6" i="76"/>
  <c r="C5" i="76"/>
  <c r="B39" i="65"/>
  <c r="B40" i="65" s="1"/>
  <c r="B36" i="65"/>
  <c r="B37" i="65" s="1"/>
  <c r="B33" i="65"/>
  <c r="B34" i="65" s="1"/>
  <c r="B30" i="65"/>
  <c r="B31" i="65" s="1"/>
  <c r="B27" i="65"/>
  <c r="B28" i="65" s="1"/>
  <c r="B24" i="65"/>
  <c r="B25" i="65" s="1"/>
  <c r="B21" i="65"/>
  <c r="B22" i="65" s="1"/>
  <c r="B18" i="65"/>
  <c r="B19" i="65" s="1"/>
  <c r="B15" i="65"/>
  <c r="B16" i="65" s="1"/>
  <c r="B12" i="65"/>
  <c r="B13" i="65" s="1"/>
  <c r="B9" i="65"/>
  <c r="B10" i="65" s="1"/>
  <c r="B6" i="65"/>
  <c r="B7" i="65" s="1"/>
  <c r="B83" i="76" l="1"/>
  <c r="B84" i="76" s="1"/>
  <c r="B85" i="76" s="1"/>
  <c r="B86" i="76" s="1"/>
  <c r="B87" i="76" s="1"/>
  <c r="B88" i="76" s="1"/>
  <c r="B76" i="76"/>
  <c r="B77" i="76" s="1"/>
  <c r="B78" i="76" s="1"/>
  <c r="B79" i="76" s="1"/>
  <c r="B80" i="76" s="1"/>
  <c r="B81" i="76" s="1"/>
  <c r="B69" i="76"/>
  <c r="B70" i="76" s="1"/>
  <c r="B71" i="76" s="1"/>
  <c r="B72" i="76" s="1"/>
  <c r="B73" i="76" s="1"/>
  <c r="B74" i="76" s="1"/>
  <c r="B62" i="76"/>
  <c r="B63" i="76" s="1"/>
  <c r="B64" i="76" s="1"/>
  <c r="B65" i="76" s="1"/>
  <c r="B66" i="76" s="1"/>
  <c r="B67" i="76" s="1"/>
  <c r="B55" i="76"/>
  <c r="B56" i="76" s="1"/>
  <c r="B57" i="76" s="1"/>
  <c r="B58" i="76" s="1"/>
  <c r="B59" i="76" s="1"/>
  <c r="B60" i="76" s="1"/>
  <c r="B48" i="76"/>
  <c r="B49" i="76" s="1"/>
  <c r="B50" i="76" s="1"/>
  <c r="B51" i="76" s="1"/>
  <c r="B52" i="76" s="1"/>
  <c r="B53" i="76" s="1"/>
  <c r="B41" i="76"/>
  <c r="B42" i="76" s="1"/>
  <c r="B43" i="76" s="1"/>
  <c r="B44" i="76" s="1"/>
  <c r="B45" i="76" s="1"/>
  <c r="B46" i="76" s="1"/>
  <c r="B34" i="76"/>
  <c r="B35" i="76" s="1"/>
  <c r="B36" i="76" s="1"/>
  <c r="B37" i="76" s="1"/>
  <c r="B38" i="76" s="1"/>
  <c r="B39" i="76" s="1"/>
  <c r="B27" i="76"/>
  <c r="B28" i="76" s="1"/>
  <c r="B29" i="76" s="1"/>
  <c r="B30" i="76" s="1"/>
  <c r="B31" i="76" s="1"/>
  <c r="B32" i="76" s="1"/>
  <c r="B20" i="76"/>
  <c r="B21" i="76" s="1"/>
  <c r="B22" i="76" s="1"/>
  <c r="B23" i="76" s="1"/>
  <c r="B24" i="76" s="1"/>
  <c r="B25" i="76" s="1"/>
  <c r="B13" i="76"/>
  <c r="B14" i="76" s="1"/>
  <c r="B15" i="76" s="1"/>
  <c r="B16" i="76" s="1"/>
  <c r="B17" i="76" s="1"/>
  <c r="B18" i="76" s="1"/>
  <c r="B6" i="76"/>
  <c r="B83" i="75"/>
  <c r="B84" i="75" s="1"/>
  <c r="B85" i="75" s="1"/>
  <c r="B86" i="75" s="1"/>
  <c r="B87" i="75" s="1"/>
  <c r="B88" i="75" s="1"/>
  <c r="B76" i="75"/>
  <c r="B77" i="75" s="1"/>
  <c r="B78" i="75" s="1"/>
  <c r="B79" i="75" s="1"/>
  <c r="B80" i="75" s="1"/>
  <c r="B81" i="75" s="1"/>
  <c r="B69" i="75"/>
  <c r="B70" i="75" s="1"/>
  <c r="B71" i="75" s="1"/>
  <c r="B72" i="75" s="1"/>
  <c r="B73" i="75" s="1"/>
  <c r="B74" i="75" s="1"/>
  <c r="B62" i="75"/>
  <c r="B63" i="75" s="1"/>
  <c r="B64" i="75" s="1"/>
  <c r="B65" i="75" s="1"/>
  <c r="B66" i="75" s="1"/>
  <c r="B67" i="75" s="1"/>
  <c r="B55" i="75"/>
  <c r="B56" i="75" s="1"/>
  <c r="B57" i="75" s="1"/>
  <c r="B58" i="75" s="1"/>
  <c r="B59" i="75" s="1"/>
  <c r="B60" i="75" s="1"/>
  <c r="B48" i="75"/>
  <c r="B49" i="75" s="1"/>
  <c r="B50" i="75" s="1"/>
  <c r="B51" i="75" s="1"/>
  <c r="B52" i="75" s="1"/>
  <c r="B53" i="75" s="1"/>
  <c r="B41" i="75"/>
  <c r="B42" i="75" s="1"/>
  <c r="B43" i="75" s="1"/>
  <c r="B44" i="75" s="1"/>
  <c r="B45" i="75" s="1"/>
  <c r="B46" i="75" s="1"/>
  <c r="B34" i="75"/>
  <c r="B35" i="75" s="1"/>
  <c r="B36" i="75" s="1"/>
  <c r="B37" i="75" s="1"/>
  <c r="B38" i="75" s="1"/>
  <c r="B39" i="75" s="1"/>
  <c r="B27" i="75"/>
  <c r="B28" i="75" s="1"/>
  <c r="B29" i="75" s="1"/>
  <c r="B30" i="75" s="1"/>
  <c r="B31" i="75" s="1"/>
  <c r="B32" i="75" s="1"/>
  <c r="B20" i="75"/>
  <c r="B21" i="75" s="1"/>
  <c r="B22" i="75" s="1"/>
  <c r="B23" i="75" s="1"/>
  <c r="B24" i="75" s="1"/>
  <c r="B25" i="75" s="1"/>
  <c r="B13" i="75"/>
  <c r="B14" i="75" s="1"/>
  <c r="B15" i="75" s="1"/>
  <c r="B16" i="75" s="1"/>
  <c r="B17" i="75" s="1"/>
  <c r="B18" i="75" s="1"/>
  <c r="B6" i="75"/>
  <c r="N56" i="74"/>
  <c r="N55" i="74"/>
  <c r="N54" i="74"/>
  <c r="N53" i="74"/>
  <c r="N52" i="74"/>
  <c r="N51" i="74"/>
  <c r="N50" i="74"/>
  <c r="N49" i="74"/>
  <c r="N48" i="74"/>
  <c r="N47" i="74"/>
  <c r="N46" i="74"/>
  <c r="N45" i="74"/>
  <c r="B6" i="74"/>
  <c r="B6" i="71"/>
  <c r="B83" i="64"/>
  <c r="B84" i="64" s="1"/>
  <c r="B85" i="64" s="1"/>
  <c r="B86" i="64" s="1"/>
  <c r="B87" i="64" s="1"/>
  <c r="B88" i="64" s="1"/>
  <c r="B76" i="64"/>
  <c r="B77" i="64" s="1"/>
  <c r="B78" i="64" s="1"/>
  <c r="B79" i="64" s="1"/>
  <c r="B80" i="64" s="1"/>
  <c r="B81" i="64" s="1"/>
  <c r="B69" i="64"/>
  <c r="B70" i="64" s="1"/>
  <c r="B71" i="64" s="1"/>
  <c r="B72" i="64" s="1"/>
  <c r="B73" i="64" s="1"/>
  <c r="B74" i="64" s="1"/>
  <c r="B62" i="64"/>
  <c r="B63" i="64" s="1"/>
  <c r="B64" i="64" s="1"/>
  <c r="B65" i="64" s="1"/>
  <c r="B66" i="64" s="1"/>
  <c r="B67" i="64" s="1"/>
  <c r="B55" i="64"/>
  <c r="B56" i="64" s="1"/>
  <c r="B57" i="64" s="1"/>
  <c r="B58" i="64" s="1"/>
  <c r="B59" i="64" s="1"/>
  <c r="B60" i="64" s="1"/>
  <c r="B48" i="64"/>
  <c r="B49" i="64" s="1"/>
  <c r="B50" i="64" s="1"/>
  <c r="B51" i="64" s="1"/>
  <c r="B52" i="64" s="1"/>
  <c r="B53" i="64" s="1"/>
  <c r="B41" i="64"/>
  <c r="B42" i="64" s="1"/>
  <c r="B43" i="64" s="1"/>
  <c r="B44" i="64" s="1"/>
  <c r="B45" i="64" s="1"/>
  <c r="B46" i="64" s="1"/>
  <c r="B34" i="64"/>
  <c r="B35" i="64" s="1"/>
  <c r="B36" i="64" s="1"/>
  <c r="B37" i="64" s="1"/>
  <c r="B38" i="64" s="1"/>
  <c r="B39" i="64" s="1"/>
  <c r="B27" i="64"/>
  <c r="B28" i="64" s="1"/>
  <c r="B29" i="64" s="1"/>
  <c r="B30" i="64" s="1"/>
  <c r="B31" i="64" s="1"/>
  <c r="B32" i="64" s="1"/>
  <c r="B20" i="64"/>
  <c r="B21" i="64" s="1"/>
  <c r="B22" i="64" s="1"/>
  <c r="B23" i="64" s="1"/>
  <c r="B24" i="64" s="1"/>
  <c r="B25" i="64" s="1"/>
  <c r="B13" i="64"/>
  <c r="B14" i="64" s="1"/>
  <c r="B15" i="64" s="1"/>
  <c r="B16" i="64" s="1"/>
  <c r="B17" i="64" s="1"/>
  <c r="B6" i="64"/>
  <c r="B7" i="71" l="1"/>
  <c r="B8" i="71" s="1"/>
  <c r="B9" i="71" s="1"/>
  <c r="B10" i="71" s="1"/>
  <c r="B11" i="71" s="1"/>
  <c r="B12" i="71" s="1"/>
  <c r="B13" i="71" s="1"/>
  <c r="B14" i="71" s="1"/>
  <c r="B15" i="71" s="1"/>
  <c r="B16" i="71" s="1"/>
  <c r="B17" i="71" s="1"/>
  <c r="B18" i="71" s="1"/>
  <c r="B19" i="71" s="1"/>
  <c r="B7" i="64"/>
  <c r="B8" i="64" s="1"/>
  <c r="B18" i="64"/>
  <c r="B7" i="76"/>
  <c r="B7" i="75"/>
  <c r="B7" i="74"/>
  <c r="K13" i="71" l="1"/>
  <c r="K11" i="71"/>
  <c r="K19" i="71"/>
  <c r="K15" i="71"/>
  <c r="J9" i="71"/>
  <c r="K20" i="71"/>
  <c r="K14" i="71"/>
  <c r="K10" i="71"/>
  <c r="K16" i="71"/>
  <c r="K12" i="71"/>
  <c r="K9" i="71"/>
  <c r="K17" i="71"/>
  <c r="K18" i="71"/>
  <c r="B8" i="76"/>
  <c r="B8" i="75"/>
  <c r="B8" i="74"/>
  <c r="B9" i="64"/>
  <c r="B9" i="76" l="1"/>
  <c r="B9" i="75"/>
  <c r="B9" i="74"/>
  <c r="B10" i="64"/>
  <c r="H9" i="65"/>
  <c r="B10" i="76" l="1"/>
  <c r="B10" i="75"/>
  <c r="B10" i="74"/>
  <c r="B11" i="64"/>
  <c r="I8" i="64" s="1"/>
  <c r="H16" i="65"/>
  <c r="H13" i="65"/>
  <c r="I11" i="65"/>
  <c r="H14" i="65"/>
  <c r="I5" i="65"/>
  <c r="I14" i="65"/>
  <c r="H12" i="65"/>
  <c r="I15" i="65"/>
  <c r="H15" i="65"/>
  <c r="I8" i="65"/>
  <c r="H8" i="65"/>
  <c r="H11" i="65"/>
  <c r="I13" i="65"/>
  <c r="I9" i="65"/>
  <c r="I7" i="65"/>
  <c r="I10" i="65"/>
  <c r="H5" i="65"/>
  <c r="I6" i="65"/>
  <c r="H10" i="65"/>
  <c r="I12" i="65"/>
  <c r="H6" i="65"/>
  <c r="H7" i="65"/>
  <c r="I16" i="65"/>
  <c r="B11" i="76" l="1"/>
  <c r="B11" i="75"/>
  <c r="B11" i="74"/>
  <c r="L5" i="65"/>
  <c r="M6" i="65"/>
  <c r="L4" i="65"/>
  <c r="M5" i="65"/>
  <c r="M4" i="65"/>
  <c r="L6" i="65"/>
  <c r="I14" i="76" l="1"/>
  <c r="I5" i="76"/>
  <c r="B12" i="74"/>
  <c r="P5" i="65"/>
  <c r="P4" i="65"/>
  <c r="P6" i="65"/>
  <c r="Q6" i="65"/>
  <c r="Q4" i="65"/>
  <c r="Q5" i="65"/>
  <c r="B13" i="74" l="1"/>
  <c r="K10" i="64"/>
  <c r="K16" i="64"/>
  <c r="J12" i="64"/>
  <c r="K9" i="64"/>
  <c r="K15" i="64"/>
  <c r="I11" i="64"/>
  <c r="J13" i="64"/>
  <c r="K11" i="64"/>
  <c r="J16" i="64"/>
  <c r="J8" i="64"/>
  <c r="J17" i="64" l="1"/>
  <c r="J10" i="64"/>
  <c r="J18" i="64"/>
  <c r="K12" i="64"/>
  <c r="J14" i="64"/>
  <c r="I12" i="76"/>
  <c r="I16" i="76"/>
  <c r="J8" i="75"/>
  <c r="J15" i="75"/>
  <c r="B14" i="74"/>
  <c r="B15" i="74" s="1"/>
  <c r="B16" i="74" s="1"/>
  <c r="B17" i="74" s="1"/>
  <c r="B18" i="74" s="1"/>
  <c r="H5" i="74" s="1"/>
  <c r="I10" i="74"/>
  <c r="H7" i="74"/>
  <c r="J9" i="64"/>
  <c r="K19" i="64"/>
  <c r="J15" i="64"/>
  <c r="K8" i="64"/>
  <c r="K14" i="64"/>
  <c r="J19" i="64"/>
  <c r="K17" i="64"/>
  <c r="I13" i="64"/>
  <c r="I16" i="64"/>
  <c r="I12" i="64"/>
  <c r="I9" i="64"/>
  <c r="J11" i="64"/>
  <c r="I17" i="64"/>
  <c r="I10" i="64"/>
  <c r="I14" i="64"/>
  <c r="K13" i="64"/>
  <c r="I19" i="64"/>
  <c r="I18" i="64"/>
  <c r="K18" i="64"/>
  <c r="I15" i="64"/>
  <c r="I9" i="71"/>
  <c r="I20" i="71"/>
  <c r="I15" i="71"/>
  <c r="P9" i="64" l="1"/>
  <c r="P8" i="64"/>
  <c r="H9" i="74"/>
  <c r="H13" i="74"/>
  <c r="H6" i="74"/>
  <c r="I7" i="74"/>
  <c r="I12" i="74"/>
  <c r="I5" i="74"/>
  <c r="H14" i="74"/>
  <c r="H8" i="74"/>
  <c r="H15" i="74"/>
  <c r="I11" i="74"/>
  <c r="J12" i="71"/>
  <c r="J16" i="71"/>
  <c r="I12" i="71"/>
  <c r="J17" i="71"/>
  <c r="J13" i="71"/>
  <c r="P9" i="71"/>
  <c r="I10" i="71"/>
  <c r="I17" i="71"/>
  <c r="J20" i="71"/>
  <c r="I18" i="71"/>
  <c r="J19" i="71"/>
  <c r="O8" i="64"/>
  <c r="O9" i="64"/>
  <c r="O7" i="64"/>
  <c r="I9" i="76"/>
  <c r="I15" i="76"/>
  <c r="I13" i="76"/>
  <c r="I8" i="76"/>
  <c r="I11" i="76"/>
  <c r="I7" i="76"/>
  <c r="I10" i="76"/>
  <c r="I6" i="76"/>
  <c r="P7" i="64"/>
  <c r="N7" i="64"/>
  <c r="I16" i="75"/>
  <c r="I12" i="75"/>
  <c r="I14" i="75"/>
  <c r="I13" i="75"/>
  <c r="I15" i="75"/>
  <c r="K7" i="75"/>
  <c r="K12" i="75"/>
  <c r="J12" i="75"/>
  <c r="J11" i="75"/>
  <c r="K10" i="75"/>
  <c r="I8" i="75"/>
  <c r="J16" i="75"/>
  <c r="J6" i="75"/>
  <c r="I6" i="75"/>
  <c r="I5" i="75"/>
  <c r="K5" i="75"/>
  <c r="K15" i="75"/>
  <c r="K14" i="75"/>
  <c r="I11" i="75"/>
  <c r="K9" i="75"/>
  <c r="I10" i="75"/>
  <c r="J13" i="75"/>
  <c r="J9" i="75"/>
  <c r="K11" i="75"/>
  <c r="J14" i="75"/>
  <c r="J10" i="75"/>
  <c r="I9" i="75"/>
  <c r="K8" i="75"/>
  <c r="K6" i="75"/>
  <c r="J5" i="75"/>
  <c r="K13" i="75"/>
  <c r="I7" i="75"/>
  <c r="K16" i="75"/>
  <c r="J7" i="75"/>
  <c r="I15" i="74"/>
  <c r="I13" i="74"/>
  <c r="I14" i="74"/>
  <c r="H10" i="74"/>
  <c r="I16" i="74"/>
  <c r="H16" i="74"/>
  <c r="I9" i="74"/>
  <c r="H11" i="74"/>
  <c r="H12" i="74"/>
  <c r="I8" i="74"/>
  <c r="I6" i="74"/>
  <c r="N8" i="64"/>
  <c r="N9" i="64"/>
  <c r="P11" i="71"/>
  <c r="I16" i="71"/>
  <c r="I14" i="71"/>
  <c r="I11" i="71"/>
  <c r="I13" i="71"/>
  <c r="I19" i="71"/>
  <c r="J10" i="71"/>
  <c r="J11" i="71"/>
  <c r="J14" i="71"/>
  <c r="J18" i="71"/>
  <c r="J15" i="71"/>
  <c r="L4" i="74" l="1"/>
  <c r="L50" i="74" s="1"/>
  <c r="S7" i="64"/>
  <c r="U7" i="64"/>
  <c r="U8" i="64"/>
  <c r="T8" i="64"/>
  <c r="T7" i="64"/>
  <c r="S8" i="64"/>
  <c r="L6" i="74"/>
  <c r="L5" i="74"/>
  <c r="M4" i="74"/>
  <c r="O11" i="71"/>
  <c r="O10" i="71"/>
  <c r="N9" i="71"/>
  <c r="N11" i="71"/>
  <c r="L5" i="76"/>
  <c r="L4" i="76"/>
  <c r="L6" i="76"/>
  <c r="N6" i="75"/>
  <c r="N5" i="75"/>
  <c r="P4" i="75"/>
  <c r="P5" i="75"/>
  <c r="O5" i="75"/>
  <c r="N4" i="75"/>
  <c r="P6" i="75"/>
  <c r="O4" i="75"/>
  <c r="O6" i="75"/>
  <c r="M5" i="74"/>
  <c r="O53" i="74" s="1"/>
  <c r="M6" i="74"/>
  <c r="N10" i="71"/>
  <c r="O9" i="71"/>
  <c r="U9" i="71"/>
  <c r="P10" i="71"/>
  <c r="U11" i="71"/>
  <c r="S11" i="71" l="1"/>
  <c r="S9" i="71"/>
  <c r="O46" i="74"/>
  <c r="O55" i="74"/>
  <c r="O48" i="74"/>
  <c r="O56" i="74"/>
  <c r="O49" i="74"/>
  <c r="P5" i="74"/>
  <c r="L56" i="74"/>
  <c r="L45" i="74"/>
  <c r="L51" i="74"/>
  <c r="T11" i="71"/>
  <c r="O6" i="76"/>
  <c r="O4" i="76"/>
  <c r="O5" i="76"/>
  <c r="P4" i="74"/>
  <c r="Q4" i="74"/>
  <c r="O51" i="74"/>
  <c r="O45" i="74"/>
  <c r="O50" i="74"/>
  <c r="O47" i="74"/>
  <c r="O52" i="74"/>
  <c r="O54" i="74"/>
  <c r="Q5" i="74"/>
  <c r="L53" i="74"/>
  <c r="L54" i="74"/>
  <c r="L48" i="74"/>
  <c r="L55" i="74"/>
  <c r="L47" i="74"/>
  <c r="L46" i="74"/>
  <c r="L49" i="74"/>
  <c r="L52" i="74"/>
  <c r="T9" i="71"/>
  <c r="T10" i="71"/>
  <c r="S10" i="71"/>
  <c r="U10" i="71"/>
</calcChain>
</file>

<file path=xl/sharedStrings.xml><?xml version="1.0" encoding="utf-8"?>
<sst xmlns="http://schemas.openxmlformats.org/spreadsheetml/2006/main" count="358" uniqueCount="168">
  <si>
    <t>Protocol</t>
  </si>
  <si>
    <t>SI24BT004IGS</t>
  </si>
  <si>
    <t>Trial</t>
  </si>
  <si>
    <t>Crop</t>
  </si>
  <si>
    <t>Grapevine</t>
  </si>
  <si>
    <t>Objetive</t>
  </si>
  <si>
    <t>EVALUATION OF THE BIOSTIMULANT EFFECT OF PRODUCTS BASED ON MICROORGANISMS ON GRAPEVINE IN SEMI-FIELD CONDITIONS</t>
  </si>
  <si>
    <t>Location</t>
  </si>
  <si>
    <t>Semi Open-field (cages). SICOP main facilities</t>
  </si>
  <si>
    <t>Coordenates</t>
  </si>
  <si>
    <t>Pol.: 18 Parc: 350 Rec:1</t>
  </si>
  <si>
    <t>36.73911051638404, -3.5854075023475156</t>
  </si>
  <si>
    <t>Date</t>
  </si>
  <si>
    <t>Description</t>
  </si>
  <si>
    <t>Days</t>
  </si>
  <si>
    <t>Moment</t>
  </si>
  <si>
    <t>Evaluation</t>
  </si>
  <si>
    <t>Transplant + 1 application (1A)</t>
  </si>
  <si>
    <t>DDT</t>
  </si>
  <si>
    <t>1E 1A</t>
  </si>
  <si>
    <t>2E (SHOOT LENGHT + BUD BREAK PERCENTAGE)</t>
  </si>
  <si>
    <t>DD1A</t>
  </si>
  <si>
    <t>2E</t>
  </si>
  <si>
    <t>2A+ 3E (SHOOT LENGHT + Vigor + SPAD + LEAF AREA)</t>
  </si>
  <si>
    <t>3E+2A</t>
  </si>
  <si>
    <t xml:space="preserve"> 21/06/2024</t>
  </si>
  <si>
    <t>3A+4E (SHOOT LENGHT + Vigor + SPAD + LEAF AREA) BBCH 55</t>
  </si>
  <si>
    <t>DD2A</t>
  </si>
  <si>
    <t>4E+3A</t>
  </si>
  <si>
    <t>5E (SHOOT LENGHT + Vigor + SPAD + LEAF AREA + WEIGHT)</t>
  </si>
  <si>
    <t>DD3A</t>
  </si>
  <si>
    <t>5E</t>
  </si>
  <si>
    <t>GRAPEVINE</t>
  </si>
  <si>
    <t>Treatment</t>
  </si>
  <si>
    <t>PRODUCT</t>
  </si>
  <si>
    <t>NUMBER OF APPLICATION</t>
  </si>
  <si>
    <t>DOSE</t>
  </si>
  <si>
    <t>PER POT</t>
  </si>
  <si>
    <t>T1</t>
  </si>
  <si>
    <t>WATER</t>
  </si>
  <si>
    <t>-</t>
  </si>
  <si>
    <t>100 ml</t>
  </si>
  <si>
    <t>T2</t>
  </si>
  <si>
    <t>Product B</t>
  </si>
  <si>
    <t>1A: 200g/100L 2A-3A: 5kg/ha</t>
  </si>
  <si>
    <t>1A: 0.2 g / 100ml
2A: 1.92g / 100 ml
3A: 1.92g / 100 ml</t>
  </si>
  <si>
    <t>T3</t>
  </si>
  <si>
    <t>CEPACET</t>
  </si>
  <si>
    <t>2 L/ha</t>
  </si>
  <si>
    <t>0,768 ml / 100 ml</t>
  </si>
  <si>
    <t>Technician</t>
  </si>
  <si>
    <t>Daniel Franco Aragón</t>
  </si>
  <si>
    <t>Contact</t>
  </si>
  <si>
    <t>TRIAL DISTRIBUTION</t>
  </si>
  <si>
    <t>TREATMENT</t>
  </si>
  <si>
    <t>PLOT</t>
  </si>
  <si>
    <t>Start Date</t>
  </si>
  <si>
    <t>End Date</t>
  </si>
  <si>
    <t>CROP</t>
  </si>
  <si>
    <t>VARIETY</t>
  </si>
  <si>
    <t>Victoria Blanca</t>
  </si>
  <si>
    <t>TRIAL LOCATION</t>
  </si>
  <si>
    <t>PLACE</t>
  </si>
  <si>
    <t>SICOP open fiel facility</t>
  </si>
  <si>
    <t>PARCEL</t>
  </si>
  <si>
    <t>ADDRESS</t>
  </si>
  <si>
    <t>Urb. Sue-Te, 309A, 18680 Salobreña, Granada</t>
  </si>
  <si>
    <t>POSTAL CODE</t>
  </si>
  <si>
    <t>COORDENATES</t>
  </si>
  <si>
    <t>FARMER</t>
  </si>
  <si>
    <t>CONTACT</t>
  </si>
  <si>
    <t>Planting density</t>
  </si>
  <si>
    <t>2604 pl/ha (in pot, theorical)</t>
  </si>
  <si>
    <t>Line distance</t>
  </si>
  <si>
    <t>2.4 m (in pot, theorical)</t>
  </si>
  <si>
    <t>Plant distance</t>
  </si>
  <si>
    <t>1.6 m (in pot, theorical)</t>
  </si>
  <si>
    <t>Sowing date</t>
  </si>
  <si>
    <t>Transplant date</t>
  </si>
  <si>
    <t>Harverst date</t>
  </si>
  <si>
    <t>N/A</t>
  </si>
  <si>
    <t>Crop system</t>
  </si>
  <si>
    <t>10 L pot</t>
  </si>
  <si>
    <t>Soil type</t>
  </si>
  <si>
    <t>Universal sustrate (Compost 47%, peat 25%, coconut fiber 25%, perlite 3%)</t>
  </si>
  <si>
    <t>pH de soil:</t>
  </si>
  <si>
    <t>Experimental design</t>
  </si>
  <si>
    <t xml:space="preserve">Completely randomized blocks	</t>
  </si>
  <si>
    <t>Repetitions</t>
  </si>
  <si>
    <t>Size parcel</t>
  </si>
  <si>
    <t>7 plants</t>
  </si>
  <si>
    <t>Number of treatments</t>
  </si>
  <si>
    <t>m2 per plot</t>
  </si>
  <si>
    <t>2,4 x 11,2 = 26,88</t>
  </si>
  <si>
    <t>Plant number per treatment</t>
  </si>
  <si>
    <t>Total plants</t>
  </si>
  <si>
    <t>1A</t>
  </si>
  <si>
    <t>Application information</t>
  </si>
  <si>
    <t>Alejandro</t>
  </si>
  <si>
    <t>Application Method</t>
  </si>
  <si>
    <t>Irrigation</t>
  </si>
  <si>
    <t>Equipment</t>
  </si>
  <si>
    <t xml:space="preserve">volumetric flask </t>
  </si>
  <si>
    <t>Solution Volumen</t>
  </si>
  <si>
    <t>2,8 L x treatment</t>
  </si>
  <si>
    <t>Pressure</t>
  </si>
  <si>
    <t>Climate information</t>
  </si>
  <si>
    <t>Start temperature</t>
  </si>
  <si>
    <t>Final temperature</t>
  </si>
  <si>
    <t>Start Relative humidity</t>
  </si>
  <si>
    <t>Final Relative humidity</t>
  </si>
  <si>
    <t>Climate</t>
  </si>
  <si>
    <t>Sun</t>
  </si>
  <si>
    <t>Wind/direction</t>
  </si>
  <si>
    <t>No wind</t>
  </si>
  <si>
    <t>Crop information</t>
  </si>
  <si>
    <t>BBCH</t>
  </si>
  <si>
    <t>Height</t>
  </si>
  <si>
    <t>1.10 m</t>
  </si>
  <si>
    <t>Diameter</t>
  </si>
  <si>
    <t>1cm</t>
  </si>
  <si>
    <t>3A</t>
  </si>
  <si>
    <t>Third Application information</t>
  </si>
  <si>
    <t>Daniel</t>
  </si>
  <si>
    <t>Volumetric Flask</t>
  </si>
  <si>
    <t>2,8L x treatment</t>
  </si>
  <si>
    <t>131 cm</t>
  </si>
  <si>
    <t>30 cm</t>
  </si>
  <si>
    <t>2A</t>
  </si>
  <si>
    <t>Jorge</t>
  </si>
  <si>
    <t>118cm</t>
  </si>
  <si>
    <t>15 cm</t>
  </si>
  <si>
    <t>VIGOR RAW DATA</t>
  </si>
  <si>
    <t>AVERAGE PER PLOT</t>
  </si>
  <si>
    <t>AVERAGE PER TREATMENT</t>
  </si>
  <si>
    <t>% VIGOR vs T1</t>
  </si>
  <si>
    <t>18DDT</t>
  </si>
  <si>
    <t>95DDT</t>
  </si>
  <si>
    <t>109DDT</t>
  </si>
  <si>
    <t>Plot</t>
  </si>
  <si>
    <t>3E</t>
  </si>
  <si>
    <t>4E</t>
  </si>
  <si>
    <t>Control</t>
  </si>
  <si>
    <t>SHOOT RAW DATA</t>
  </si>
  <si>
    <t>% SHOOT vs T1</t>
  </si>
  <si>
    <t>LEAF AREA RAW DATA</t>
  </si>
  <si>
    <t>% LEAF AREA vs T1</t>
  </si>
  <si>
    <t>SPAD RAW DATA</t>
  </si>
  <si>
    <t>% SPAD vs T1</t>
  </si>
  <si>
    <t>1E</t>
  </si>
  <si>
    <t>BUD RAW DATA</t>
  </si>
  <si>
    <t>Date 25/03/2024</t>
  </si>
  <si>
    <t>% BUD vs T1</t>
  </si>
  <si>
    <t>%</t>
  </si>
  <si>
    <t>% bud break</t>
  </si>
  <si>
    <t>OPEN BUDS</t>
  </si>
  <si>
    <t>TOTAL BUDS</t>
  </si>
  <si>
    <t>WEIGHT RAW DATA</t>
  </si>
  <si>
    <t>% Weight vs T1</t>
  </si>
  <si>
    <t>E5</t>
  </si>
  <si>
    <t>FRESH AERIAL</t>
  </si>
  <si>
    <t>FRESH ROOT</t>
  </si>
  <si>
    <t>Tª min (ºC)</t>
  </si>
  <si>
    <t>Tª max (ºC)</t>
  </si>
  <si>
    <t>Tª media</t>
  </si>
  <si>
    <t>HR min (%)</t>
  </si>
  <si>
    <t>HR max (%)</t>
  </si>
  <si>
    <t>HR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</si>
</sst>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Arial"/>
      <family val="2"/>
    </font>
    <font>
      <b/>
      <sz val="14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indexed="8"/>
      <name val="Times New Roman"/>
      <family val="1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9" tint="0.39997558519241921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/>
      <diagonal/>
    </border>
    <border>
      <left style="thin">
        <color theme="6" tint="0.79998168889431442"/>
      </left>
      <right/>
      <top style="thin">
        <color theme="6" tint="0.79998168889431442"/>
      </top>
      <bottom/>
      <diagonal/>
    </border>
    <border>
      <left/>
      <right/>
      <top style="thin">
        <color theme="6" tint="0.79998168889431442"/>
      </top>
      <bottom/>
      <diagonal/>
    </border>
    <border>
      <left/>
      <right style="thin">
        <color theme="6" tint="0.79998168889431442"/>
      </right>
      <top style="thin">
        <color theme="6" tint="0.79998168889431442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397">
    <xf numFmtId="0" fontId="0" fillId="0" borderId="0" xfId="0"/>
    <xf numFmtId="0" fontId="8" fillId="0" borderId="0" xfId="2" applyFont="1"/>
    <xf numFmtId="0" fontId="10" fillId="0" borderId="0" xfId="2"/>
    <xf numFmtId="0" fontId="2" fillId="0" borderId="13" xfId="2" applyFont="1" applyBorder="1" applyAlignment="1">
      <alignment horizontal="left"/>
    </xf>
    <xf numFmtId="0" fontId="10" fillId="0" borderId="21" xfId="2" applyBorder="1" applyAlignment="1">
      <alignment horizontal="left"/>
    </xf>
    <xf numFmtId="14" fontId="0" fillId="3" borderId="7" xfId="1" applyNumberFormat="1" applyFont="1" applyFill="1" applyBorder="1" applyAlignment="1">
      <alignment horizontal="left" readingOrder="1"/>
    </xf>
    <xf numFmtId="0" fontId="2" fillId="0" borderId="25" xfId="2" applyFont="1" applyBorder="1" applyAlignment="1">
      <alignment horizontal="left"/>
    </xf>
    <xf numFmtId="0" fontId="10" fillId="0" borderId="34" xfId="2" applyBorder="1" applyAlignment="1">
      <alignment horizontal="left"/>
    </xf>
    <xf numFmtId="0" fontId="10" fillId="3" borderId="35" xfId="2" applyFill="1" applyBorder="1" applyAlignment="1">
      <alignment horizontal="left" readingOrder="1"/>
    </xf>
    <xf numFmtId="20" fontId="10" fillId="3" borderId="3" xfId="2" applyNumberFormat="1" applyFill="1" applyBorder="1" applyAlignment="1">
      <alignment horizontal="left" readingOrder="1"/>
    </xf>
    <xf numFmtId="0" fontId="10" fillId="3" borderId="3" xfId="2" applyFill="1" applyBorder="1" applyAlignment="1">
      <alignment horizontal="left" readingOrder="1"/>
    </xf>
    <xf numFmtId="0" fontId="2" fillId="0" borderId="18" xfId="2" applyFont="1" applyBorder="1" applyAlignment="1">
      <alignment horizontal="left"/>
    </xf>
    <xf numFmtId="0" fontId="10" fillId="0" borderId="36" xfId="2" applyBorder="1" applyAlignment="1">
      <alignment horizontal="left"/>
    </xf>
    <xf numFmtId="0" fontId="10" fillId="3" borderId="4" xfId="2" applyFill="1" applyBorder="1" applyAlignment="1">
      <alignment horizontal="left" readingOrder="1"/>
    </xf>
    <xf numFmtId="0" fontId="10" fillId="0" borderId="0" xfId="2" applyAlignment="1">
      <alignment horizontal="left" readingOrder="1"/>
    </xf>
    <xf numFmtId="0" fontId="2" fillId="0" borderId="13" xfId="2" applyFont="1" applyBorder="1"/>
    <xf numFmtId="0" fontId="10" fillId="0" borderId="21" xfId="2" applyBorder="1"/>
    <xf numFmtId="0" fontId="2" fillId="0" borderId="25" xfId="2" applyFont="1" applyBorder="1"/>
    <xf numFmtId="0" fontId="10" fillId="0" borderId="26" xfId="2" applyBorder="1"/>
    <xf numFmtId="9" fontId="10" fillId="3" borderId="3" xfId="2" applyNumberFormat="1" applyFill="1" applyBorder="1" applyAlignment="1">
      <alignment horizontal="left" vertical="center" readingOrder="1"/>
    </xf>
    <xf numFmtId="0" fontId="2" fillId="0" borderId="17" xfId="2" applyFont="1" applyBorder="1"/>
    <xf numFmtId="0" fontId="10" fillId="0" borderId="24" xfId="2" applyBorder="1"/>
    <xf numFmtId="0" fontId="10" fillId="3" borderId="9" xfId="2" applyFill="1" applyBorder="1" applyAlignment="1">
      <alignment horizontal="left" readingOrder="1"/>
    </xf>
    <xf numFmtId="0" fontId="2" fillId="0" borderId="14" xfId="2" applyFont="1" applyBorder="1"/>
    <xf numFmtId="0" fontId="10" fillId="0" borderId="15" xfId="2" applyBorder="1"/>
    <xf numFmtId="0" fontId="10" fillId="3" borderId="10" xfId="2" applyFill="1" applyBorder="1" applyAlignment="1">
      <alignment horizontal="left" readingOrder="1"/>
    </xf>
    <xf numFmtId="0" fontId="3" fillId="3" borderId="3" xfId="1" applyFont="1" applyFill="1" applyBorder="1"/>
    <xf numFmtId="0" fontId="3" fillId="0" borderId="3" xfId="1" applyFont="1" applyBorder="1"/>
    <xf numFmtId="0" fontId="16" fillId="0" borderId="0" xfId="1" applyFont="1"/>
    <xf numFmtId="0" fontId="4" fillId="0" borderId="0" xfId="0" applyFont="1"/>
    <xf numFmtId="0" fontId="6" fillId="5" borderId="10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/>
    </xf>
    <xf numFmtId="0" fontId="14" fillId="0" borderId="52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53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2" fontId="0" fillId="3" borderId="3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61" xfId="0" applyNumberFormat="1" applyFill="1" applyBorder="1" applyAlignment="1">
      <alignment horizontal="center" vertical="center"/>
    </xf>
    <xf numFmtId="2" fontId="0" fillId="3" borderId="23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2" fontId="0" fillId="3" borderId="34" xfId="0" applyNumberFormat="1" applyFill="1" applyBorder="1" applyAlignment="1">
      <alignment horizontal="center" vertical="center"/>
    </xf>
    <xf numFmtId="2" fontId="0" fillId="3" borderId="63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7" borderId="1" xfId="1" applyFont="1" applyFill="1" applyBorder="1"/>
    <xf numFmtId="0" fontId="3" fillId="3" borderId="7" xfId="1" applyFont="1" applyFill="1" applyBorder="1"/>
    <xf numFmtId="0" fontId="2" fillId="7" borderId="2" xfId="1" applyFont="1" applyFill="1" applyBorder="1"/>
    <xf numFmtId="0" fontId="3" fillId="0" borderId="9" xfId="1" applyFont="1" applyBorder="1" applyAlignment="1">
      <alignment wrapText="1"/>
    </xf>
    <xf numFmtId="0" fontId="2" fillId="7" borderId="5" xfId="1" applyFont="1" applyFill="1" applyBorder="1" applyAlignment="1">
      <alignment horizontal="center"/>
    </xf>
    <xf numFmtId="0" fontId="0" fillId="0" borderId="52" xfId="0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2" fontId="0" fillId="0" borderId="6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10" fillId="3" borderId="7" xfId="2" applyNumberFormat="1" applyFill="1" applyBorder="1" applyAlignment="1">
      <alignment horizontal="left" vertical="center" readingOrder="1"/>
    </xf>
    <xf numFmtId="164" fontId="10" fillId="3" borderId="3" xfId="2" applyNumberFormat="1" applyFill="1" applyBorder="1" applyAlignment="1">
      <alignment horizontal="left" vertical="center" readingOrder="1"/>
    </xf>
    <xf numFmtId="0" fontId="1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4" fontId="0" fillId="0" borderId="32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57" xfId="0" applyBorder="1" applyAlignment="1">
      <alignment horizontal="center" vertical="center" wrapText="1"/>
    </xf>
    <xf numFmtId="2" fontId="0" fillId="0" borderId="3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58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 wrapText="1"/>
    </xf>
    <xf numFmtId="2" fontId="0" fillId="0" borderId="9" xfId="0" applyNumberFormat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0" borderId="33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14" fontId="0" fillId="0" borderId="30" xfId="1" applyNumberFormat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0" fillId="0" borderId="31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14" fontId="1" fillId="0" borderId="3" xfId="1" applyNumberForma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0" fontId="0" fillId="3" borderId="37" xfId="1" applyFont="1" applyFill="1" applyBorder="1" applyAlignment="1">
      <alignment horizontal="center" vertical="center"/>
    </xf>
    <xf numFmtId="0" fontId="2" fillId="3" borderId="48" xfId="1" applyFont="1" applyFill="1" applyBorder="1" applyAlignment="1">
      <alignment horizontal="center" vertical="center"/>
    </xf>
    <xf numFmtId="0" fontId="1" fillId="3" borderId="49" xfId="1" applyFill="1" applyBorder="1" applyAlignment="1">
      <alignment horizontal="center" vertical="center"/>
    </xf>
    <xf numFmtId="0" fontId="1" fillId="3" borderId="37" xfId="1" applyFill="1" applyBorder="1" applyAlignment="1">
      <alignment horizontal="center" vertical="center"/>
    </xf>
    <xf numFmtId="0" fontId="0" fillId="3" borderId="45" xfId="1" applyFont="1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2" fillId="3" borderId="50" xfId="1" applyFon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2" fontId="0" fillId="3" borderId="30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31" xfId="0" applyNumberFormat="1" applyFill="1" applyBorder="1" applyAlignment="1">
      <alignment horizontal="center" vertical="center"/>
    </xf>
    <xf numFmtId="2" fontId="0" fillId="3" borderId="32" xfId="0" applyNumberFormat="1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2" fontId="0" fillId="3" borderId="64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19" fillId="0" borderId="62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1" fillId="3" borderId="0" xfId="0" applyFont="1" applyFill="1" applyAlignment="1">
      <alignment horizontal="center"/>
    </xf>
    <xf numFmtId="0" fontId="14" fillId="3" borderId="1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3" borderId="72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2" fontId="5" fillId="0" borderId="0" xfId="0" applyNumberFormat="1" applyFont="1" applyAlignment="1">
      <alignment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3" borderId="0" xfId="0" applyNumberFormat="1" applyFill="1" applyAlignment="1">
      <alignment horizontal="center"/>
    </xf>
    <xf numFmtId="16" fontId="0" fillId="3" borderId="0" xfId="0" applyNumberFormat="1" applyFill="1" applyAlignment="1">
      <alignment horizontal="center"/>
    </xf>
    <xf numFmtId="16" fontId="15" fillId="3" borderId="0" xfId="0" applyNumberFormat="1" applyFont="1" applyFill="1" applyAlignment="1">
      <alignment horizontal="center"/>
    </xf>
    <xf numFmtId="0" fontId="0" fillId="0" borderId="27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3" borderId="27" xfId="0" applyNumberFormat="1" applyFill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2" fontId="0" fillId="0" borderId="77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0" fontId="10" fillId="0" borderId="15" xfId="2" applyBorder="1" applyAlignment="1">
      <alignment horizontal="center"/>
    </xf>
    <xf numFmtId="0" fontId="14" fillId="3" borderId="33" xfId="0" applyFont="1" applyFill="1" applyBorder="1" applyAlignment="1">
      <alignment horizontal="center" vertical="center" wrapText="1"/>
    </xf>
    <xf numFmtId="0" fontId="14" fillId="0" borderId="73" xfId="0" applyFont="1" applyBorder="1" applyAlignment="1">
      <alignment horizontal="center" vertical="center" wrapText="1"/>
    </xf>
    <xf numFmtId="14" fontId="0" fillId="0" borderId="78" xfId="0" applyNumberFormat="1" applyBorder="1" applyAlignment="1">
      <alignment horizontal="center"/>
    </xf>
    <xf numFmtId="0" fontId="5" fillId="7" borderId="55" xfId="0" applyFont="1" applyFill="1" applyBorder="1" applyAlignment="1">
      <alignment horizontal="center"/>
    </xf>
    <xf numFmtId="0" fontId="5" fillId="7" borderId="79" xfId="0" applyFont="1" applyFill="1" applyBorder="1" applyAlignment="1">
      <alignment horizontal="center"/>
    </xf>
    <xf numFmtId="0" fontId="0" fillId="0" borderId="80" xfId="0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0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/>
    </xf>
    <xf numFmtId="0" fontId="1" fillId="3" borderId="45" xfId="1" applyFill="1" applyBorder="1" applyAlignment="1">
      <alignment horizontal="center" vertical="center"/>
    </xf>
    <xf numFmtId="1" fontId="0" fillId="3" borderId="30" xfId="0" applyNumberFormat="1" applyFill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3" borderId="31" xfId="0" applyNumberForma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3" borderId="32" xfId="0" applyNumberFormat="1" applyFill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" fontId="0" fillId="3" borderId="30" xfId="0" applyNumberFormat="1" applyFill="1" applyBorder="1" applyAlignment="1">
      <alignment horizontal="center"/>
    </xf>
    <xf numFmtId="1" fontId="0" fillId="3" borderId="11" xfId="0" applyNumberFormat="1" applyFill="1" applyBorder="1" applyAlignment="1">
      <alignment horizontal="center" vertical="center"/>
    </xf>
    <xf numFmtId="1" fontId="0" fillId="3" borderId="31" xfId="0" applyNumberFormat="1" applyFill="1" applyBorder="1" applyAlignment="1">
      <alignment horizontal="center"/>
    </xf>
    <xf numFmtId="1" fontId="0" fillId="3" borderId="64" xfId="0" applyNumberFormat="1" applyFill="1" applyBorder="1" applyAlignment="1">
      <alignment horizontal="center" vertical="center"/>
    </xf>
    <xf numFmtId="1" fontId="0" fillId="3" borderId="3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 vertical="center"/>
    </xf>
    <xf numFmtId="1" fontId="0" fillId="3" borderId="72" xfId="0" applyNumberFormat="1" applyFill="1" applyBorder="1" applyAlignment="1">
      <alignment horizontal="center" vertical="center"/>
    </xf>
    <xf numFmtId="14" fontId="24" fillId="0" borderId="2" xfId="1" applyNumberFormat="1" applyFont="1" applyBorder="1" applyAlignment="1">
      <alignment horizontal="center"/>
    </xf>
    <xf numFmtId="2" fontId="10" fillId="3" borderId="7" xfId="2" applyNumberFormat="1" applyFill="1" applyBorder="1" applyAlignment="1">
      <alignment horizontal="left" vertical="center" readingOrder="1"/>
    </xf>
    <xf numFmtId="2" fontId="10" fillId="3" borderId="3" xfId="2" applyNumberFormat="1" applyFill="1" applyBorder="1" applyAlignment="1">
      <alignment horizontal="left" vertical="center" readingOrder="1"/>
    </xf>
    <xf numFmtId="2" fontId="0" fillId="0" borderId="1" xfId="0" applyNumberFormat="1" applyBorder="1" applyAlignment="1">
      <alignment horizontal="center"/>
    </xf>
    <xf numFmtId="0" fontId="0" fillId="7" borderId="61" xfId="0" applyFill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/>
    </xf>
    <xf numFmtId="0" fontId="0" fillId="9" borderId="30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3" borderId="6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0" xfId="0" applyBorder="1" applyAlignment="1">
      <alignment horizontal="center"/>
    </xf>
    <xf numFmtId="2" fontId="0" fillId="3" borderId="82" xfId="0" applyNumberForma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2" fontId="0" fillId="0" borderId="76" xfId="0" applyNumberFormat="1" applyBorder="1" applyAlignment="1">
      <alignment horizontal="center" vertical="center"/>
    </xf>
    <xf numFmtId="14" fontId="0" fillId="0" borderId="71" xfId="0" applyNumberFormat="1" applyBorder="1" applyAlignment="1">
      <alignment horizontal="center"/>
    </xf>
    <xf numFmtId="0" fontId="0" fillId="0" borderId="6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5" fillId="3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4" fontId="15" fillId="3" borderId="0" xfId="0" applyNumberFormat="1" applyFont="1" applyFill="1" applyAlignment="1">
      <alignment horizontal="center"/>
    </xf>
    <xf numFmtId="0" fontId="0" fillId="0" borderId="56" xfId="0" applyBorder="1" applyAlignment="1">
      <alignment horizontal="center"/>
    </xf>
    <xf numFmtId="1" fontId="0" fillId="0" borderId="72" xfId="0" applyNumberFormat="1" applyBorder="1" applyAlignment="1">
      <alignment horizontal="center" vertical="center"/>
    </xf>
    <xf numFmtId="0" fontId="0" fillId="0" borderId="32" xfId="0" applyBorder="1" applyAlignment="1">
      <alignment horizontal="center"/>
    </xf>
    <xf numFmtId="1" fontId="0" fillId="3" borderId="83" xfId="0" applyNumberForma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1" fontId="0" fillId="3" borderId="25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1" fontId="0" fillId="0" borderId="64" xfId="0" applyNumberFormat="1" applyBorder="1" applyAlignment="1">
      <alignment horizontal="center" vertical="center"/>
    </xf>
    <xf numFmtId="0" fontId="0" fillId="0" borderId="6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18" xfId="0" applyFill="1" applyBorder="1" applyAlignment="1">
      <alignment horizontal="center"/>
    </xf>
    <xf numFmtId="1" fontId="0" fillId="0" borderId="83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3" borderId="8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84" xfId="0" applyFill="1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3" borderId="84" xfId="0" applyNumberFormat="1" applyFill="1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76" xfId="0" applyBorder="1" applyAlignment="1">
      <alignment horizontal="center"/>
    </xf>
    <xf numFmtId="14" fontId="0" fillId="10" borderId="27" xfId="0" applyNumberFormat="1" applyFill="1" applyBorder="1"/>
    <xf numFmtId="0" fontId="5" fillId="7" borderId="16" xfId="0" applyFont="1" applyFill="1" applyBorder="1" applyAlignment="1">
      <alignment horizontal="center"/>
    </xf>
    <xf numFmtId="0" fontId="0" fillId="8" borderId="32" xfId="0" applyFill="1" applyBorder="1" applyAlignment="1">
      <alignment horizontal="center" vertical="center"/>
    </xf>
    <xf numFmtId="14" fontId="2" fillId="0" borderId="8" xfId="1" applyNumberFormat="1" applyFont="1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6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82" xfId="0" applyNumberFormat="1" applyBorder="1" applyAlignment="1">
      <alignment horizontal="center" vertical="center"/>
    </xf>
    <xf numFmtId="2" fontId="0" fillId="0" borderId="84" xfId="0" applyNumberFormat="1" applyBorder="1" applyAlignment="1">
      <alignment horizontal="center" vertical="center"/>
    </xf>
    <xf numFmtId="2" fontId="0" fillId="0" borderId="72" xfId="0" applyNumberFormat="1" applyBorder="1" applyAlignment="1">
      <alignment horizontal="center" vertical="center"/>
    </xf>
    <xf numFmtId="2" fontId="0" fillId="0" borderId="86" xfId="0" applyNumberFormat="1" applyBorder="1" applyAlignment="1">
      <alignment horizontal="center" vertical="center"/>
    </xf>
    <xf numFmtId="2" fontId="0" fillId="3" borderId="62" xfId="0" applyNumberFormat="1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2" fontId="0" fillId="0" borderId="5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59" xfId="0" applyNumberFormat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6" fillId="0" borderId="0" xfId="0" applyFont="1"/>
    <xf numFmtId="2" fontId="0" fillId="0" borderId="62" xfId="0" applyNumberFormat="1" applyBorder="1" applyAlignment="1">
      <alignment horizontal="center"/>
    </xf>
    <xf numFmtId="0" fontId="5" fillId="7" borderId="66" xfId="0" applyFont="1" applyFill="1" applyBorder="1" applyAlignment="1">
      <alignment horizontal="center"/>
    </xf>
    <xf numFmtId="0" fontId="0" fillId="10" borderId="87" xfId="0" applyFill="1" applyBorder="1" applyAlignment="1">
      <alignment horizontal="center" vertical="center"/>
    </xf>
    <xf numFmtId="0" fontId="0" fillId="10" borderId="67" xfId="0" applyFill="1" applyBorder="1" applyAlignment="1">
      <alignment horizontal="center" vertical="center" wrapText="1"/>
    </xf>
    <xf numFmtId="0" fontId="0" fillId="10" borderId="88" xfId="0" applyFill="1" applyBorder="1" applyAlignment="1">
      <alignment horizontal="center" vertical="center" wrapText="1"/>
    </xf>
    <xf numFmtId="2" fontId="0" fillId="3" borderId="58" xfId="0" applyNumberFormat="1" applyFill="1" applyBorder="1" applyAlignment="1">
      <alignment horizontal="center" vertical="center"/>
    </xf>
    <xf numFmtId="2" fontId="0" fillId="3" borderId="59" xfId="0" applyNumberForma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  <xf numFmtId="0" fontId="2" fillId="7" borderId="6" xfId="1" applyFont="1" applyFill="1" applyBorder="1" applyAlignment="1">
      <alignment horizontal="center"/>
    </xf>
    <xf numFmtId="0" fontId="0" fillId="0" borderId="74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14" fontId="0" fillId="3" borderId="66" xfId="0" applyNumberForma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5" fillId="0" borderId="0" xfId="0" applyFont="1"/>
    <xf numFmtId="2" fontId="0" fillId="0" borderId="11" xfId="0" applyNumberFormat="1" applyBorder="1" applyAlignment="1">
      <alignment horizontal="center"/>
    </xf>
    <xf numFmtId="2" fontId="0" fillId="0" borderId="64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80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 wrapText="1"/>
    </xf>
    <xf numFmtId="0" fontId="0" fillId="7" borderId="81" xfId="0" applyFill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0" fontId="14" fillId="7" borderId="10" xfId="0" applyFont="1" applyFill="1" applyBorder="1" applyAlignment="1">
      <alignment horizontal="center" vertical="center" wrapText="1"/>
    </xf>
    <xf numFmtId="2" fontId="0" fillId="3" borderId="13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5" fillId="7" borderId="71" xfId="0" applyFont="1" applyFill="1" applyBorder="1" applyAlignment="1">
      <alignment horizontal="center"/>
    </xf>
    <xf numFmtId="0" fontId="0" fillId="11" borderId="27" xfId="0" applyFill="1" applyBorder="1" applyAlignment="1">
      <alignment horizontal="center" vertical="center"/>
    </xf>
    <xf numFmtId="0" fontId="25" fillId="11" borderId="27" xfId="0" applyFont="1" applyFill="1" applyBorder="1" applyAlignment="1">
      <alignment horizontal="center" vertical="center"/>
    </xf>
    <xf numFmtId="2" fontId="0" fillId="0" borderId="77" xfId="0" applyNumberFormat="1" applyBorder="1" applyAlignment="1">
      <alignment horizontal="center"/>
    </xf>
    <xf numFmtId="0" fontId="27" fillId="0" borderId="20" xfId="1" applyFont="1" applyBorder="1"/>
    <xf numFmtId="0" fontId="27" fillId="0" borderId="61" xfId="1" applyFont="1" applyBorder="1"/>
    <xf numFmtId="0" fontId="27" fillId="0" borderId="23" xfId="1" applyFont="1" applyBorder="1"/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14" fontId="5" fillId="0" borderId="15" xfId="0" applyNumberFormat="1" applyFont="1" applyBorder="1" applyAlignment="1">
      <alignment horizontal="center"/>
    </xf>
    <xf numFmtId="14" fontId="5" fillId="0" borderId="16" xfId="0" applyNumberFormat="1" applyFont="1" applyBorder="1" applyAlignment="1">
      <alignment horizontal="center"/>
    </xf>
    <xf numFmtId="0" fontId="5" fillId="3" borderId="5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2" fillId="7" borderId="2" xfId="1" applyFont="1" applyFill="1" applyBorder="1" applyAlignment="1">
      <alignment horizontal="left" vertical="center" wrapText="1"/>
    </xf>
    <xf numFmtId="0" fontId="2" fillId="7" borderId="8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2" fillId="2" borderId="64" xfId="1" applyFont="1" applyFill="1" applyBorder="1" applyAlignment="1">
      <alignment horizontal="center" vertical="center"/>
    </xf>
    <xf numFmtId="0" fontId="2" fillId="6" borderId="46" xfId="1" applyFont="1" applyFill="1" applyBorder="1" applyAlignment="1">
      <alignment horizontal="center" vertical="center"/>
    </xf>
    <xf numFmtId="0" fontId="2" fillId="6" borderId="47" xfId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5" fillId="7" borderId="5" xfId="0" applyNumberFormat="1" applyFont="1" applyFill="1" applyBorder="1" applyAlignment="1">
      <alignment horizontal="center" vertical="center"/>
    </xf>
    <xf numFmtId="2" fontId="5" fillId="7" borderId="73" xfId="0" applyNumberFormat="1" applyFont="1" applyFill="1" applyBorder="1" applyAlignment="1">
      <alignment horizontal="center" vertical="center"/>
    </xf>
    <xf numFmtId="2" fontId="5" fillId="7" borderId="3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2" fontId="5" fillId="7" borderId="28" xfId="0" applyNumberFormat="1" applyFont="1" applyFill="1" applyBorder="1" applyAlignment="1">
      <alignment horizontal="center" vertical="center"/>
    </xf>
    <xf numFmtId="2" fontId="5" fillId="7" borderId="29" xfId="0" applyNumberFormat="1" applyFont="1" applyFill="1" applyBorder="1" applyAlignment="1">
      <alignment horizontal="center" vertical="center"/>
    </xf>
    <xf numFmtId="2" fontId="5" fillId="7" borderId="18" xfId="0" applyNumberFormat="1" applyFont="1" applyFill="1" applyBorder="1" applyAlignment="1">
      <alignment horizontal="center" vertical="center"/>
    </xf>
    <xf numFmtId="2" fontId="5" fillId="12" borderId="5" xfId="0" applyNumberFormat="1" applyFont="1" applyFill="1" applyBorder="1" applyAlignment="1">
      <alignment horizontal="center" vertical="center"/>
    </xf>
    <xf numFmtId="2" fontId="5" fillId="12" borderId="73" xfId="0" applyNumberFormat="1" applyFont="1" applyFill="1" applyBorder="1" applyAlignment="1">
      <alignment horizontal="center" vertical="center"/>
    </xf>
    <xf numFmtId="2" fontId="5" fillId="12" borderId="33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</cellXfs>
  <cellStyles count="3">
    <cellStyle name="Normal" xfId="0" builtinId="0"/>
    <cellStyle name="Normal 2 2" xfId="2" xr:uid="{71F44AA3-9340-460F-9C13-65820F121BBD}"/>
    <cellStyle name="Normal 3" xfId="1" xr:uid="{64B678E8-AE2B-4914-8707-A0C7DF036E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NVDI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VIGOR!$M$4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VIGOR!$N$3:$P$3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VIGOR!$N$4:$P$4</c:f>
              <c:numCache>
                <c:formatCode>0.00</c:formatCode>
                <c:ptCount val="3"/>
                <c:pt idx="0">
                  <c:v>0.36678571428571427</c:v>
                </c:pt>
                <c:pt idx="1">
                  <c:v>0.31392857142857145</c:v>
                </c:pt>
                <c:pt idx="2">
                  <c:v>0.42892857142857144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0-44E7-BD7A-4CED1924E967}"/>
            </c:ext>
          </c:extLst>
        </c:ser>
        <c:ser>
          <c:idx val="1"/>
          <c:order val="1"/>
          <c:tx>
            <c:strRef>
              <c:f>VIGOR!$M$5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VIGOR!$N$3:$P$3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VIGOR!$N$5:$P$5</c:f>
              <c:numCache>
                <c:formatCode>0.00</c:formatCode>
                <c:ptCount val="3"/>
                <c:pt idx="0">
                  <c:v>0.31107142857142861</c:v>
                </c:pt>
                <c:pt idx="1">
                  <c:v>0.32928571428571429</c:v>
                </c:pt>
                <c:pt idx="2">
                  <c:v>0.39964285714285713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0-44E7-BD7A-4CED1924E967}"/>
            </c:ext>
          </c:extLst>
        </c:ser>
        <c:ser>
          <c:idx val="2"/>
          <c:order val="2"/>
          <c:tx>
            <c:strRef>
              <c:f>VIGOR!$M$6</c:f>
              <c:strCache>
                <c:ptCount val="1"/>
                <c:pt idx="0">
                  <c:v>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VIGOR!$N$3:$P$3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VIGOR!$N$6:$P$6</c:f>
              <c:numCache>
                <c:formatCode>0.00</c:formatCode>
                <c:ptCount val="3"/>
                <c:pt idx="0">
                  <c:v>0.34285714285714286</c:v>
                </c:pt>
                <c:pt idx="1">
                  <c:v>0.34035714285714286</c:v>
                </c:pt>
                <c:pt idx="2">
                  <c:v>0.4146428571428572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0-44E7-BD7A-4CED1924E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832016"/>
        <c:axId val="548832496"/>
      </c:barChart>
      <c:catAx>
        <c:axId val="54883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Momento</a:t>
                </a:r>
                <a:r>
                  <a:rPr lang="es-ES" baseline="0">
                    <a:solidFill>
                      <a:schemeClr val="tx1"/>
                    </a:solidFill>
                  </a:rPr>
                  <a:t> de evaluación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832496"/>
        <c:crosses val="autoZero"/>
        <c:auto val="1"/>
        <c:lblAlgn val="ctr"/>
        <c:lblOffset val="100"/>
        <c:noMultiLvlLbl val="0"/>
      </c:catAx>
      <c:valAx>
        <c:axId val="54883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NVDI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83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tx1"/>
                </a:solidFill>
              </a:rPr>
              <a:t>% diferencia con respecto al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VIGOR!$R$4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VIGOR!$S$3:$U$3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VIGOR!$S$4:$U$4</c:f>
              <c:numCache>
                <c:formatCode>0.00</c:formatCode>
                <c:ptCount val="3"/>
                <c:pt idx="0">
                  <c:v>-15.1898734177215</c:v>
                </c:pt>
                <c:pt idx="1">
                  <c:v>4.8919226393629174</c:v>
                </c:pt>
                <c:pt idx="2">
                  <c:v>-6.8276436303080743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C-4678-B663-262C4F8541C7}"/>
            </c:ext>
          </c:extLst>
        </c:ser>
        <c:ser>
          <c:idx val="1"/>
          <c:order val="1"/>
          <c:tx>
            <c:strRef>
              <c:f>VIGOR!$R$5</c:f>
              <c:strCache>
                <c:ptCount val="1"/>
                <c:pt idx="0">
                  <c:v>CEPACET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VIGOR!$S$3:$U$3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VIGOR!$S$5:$U$5</c:f>
              <c:numCache>
                <c:formatCode>0.00</c:formatCode>
                <c:ptCount val="3"/>
                <c:pt idx="0">
                  <c:v>-6.5238558909445032</c:v>
                </c:pt>
                <c:pt idx="1">
                  <c:v>8.4186575654152307</c:v>
                </c:pt>
                <c:pt idx="2">
                  <c:v>-3.330557868442952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C-4678-B663-262C4F854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643584"/>
        <c:axId val="1243644064"/>
      </c:barChart>
      <c:catAx>
        <c:axId val="124364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Momento de evaluación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3644064"/>
        <c:crosses val="autoZero"/>
        <c:auto val="1"/>
        <c:lblAlgn val="ctr"/>
        <c:lblOffset val="100"/>
        <c:noMultiLvlLbl val="0"/>
      </c:catAx>
      <c:valAx>
        <c:axId val="12436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%</a:t>
                </a:r>
                <a:r>
                  <a:rPr lang="es-ES" baseline="0">
                    <a:solidFill>
                      <a:schemeClr val="tx1"/>
                    </a:solidFill>
                  </a:rPr>
                  <a:t> de diferencia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364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tx1"/>
                </a:solidFill>
              </a:rPr>
              <a:t>Altura de las plantas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'SHOOT LENGHT'!$M$7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'SHOOT LENGHT'!$N$6:$P$6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'SHOOT LENGHT'!$N$7:$P$7</c:f>
              <c:numCache>
                <c:formatCode>0.00</c:formatCode>
                <c:ptCount val="3"/>
                <c:pt idx="0">
                  <c:v>117.19142857142857</c:v>
                </c:pt>
                <c:pt idx="1">
                  <c:v>129.64285714285714</c:v>
                </c:pt>
                <c:pt idx="2">
                  <c:v>138.82142857142856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1-4DA5-9B47-D866E57BAB0A}"/>
            </c:ext>
          </c:extLst>
        </c:ser>
        <c:ser>
          <c:idx val="1"/>
          <c:order val="1"/>
          <c:tx>
            <c:strRef>
              <c:f>'SHOOT LENGHT'!$M$8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'SHOOT LENGHT'!$N$6:$P$6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'SHOOT LENGHT'!$N$8:$P$8</c:f>
              <c:numCache>
                <c:formatCode>0.00</c:formatCode>
                <c:ptCount val="3"/>
                <c:pt idx="0">
                  <c:v>123.82142857142856</c:v>
                </c:pt>
                <c:pt idx="1">
                  <c:v>135.25</c:v>
                </c:pt>
                <c:pt idx="2">
                  <c:v>143.88678571428571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1-4DA5-9B47-D866E57BAB0A}"/>
            </c:ext>
          </c:extLst>
        </c:ser>
        <c:ser>
          <c:idx val="2"/>
          <c:order val="2"/>
          <c:tx>
            <c:strRef>
              <c:f>'SHOOT LENGHT'!$M$9</c:f>
              <c:strCache>
                <c:ptCount val="1"/>
                <c:pt idx="0">
                  <c:v>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'SHOOT LENGHT'!$N$6:$P$6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'SHOOT LENGHT'!$N$9:$P$9</c:f>
              <c:numCache>
                <c:formatCode>0.00</c:formatCode>
                <c:ptCount val="3"/>
                <c:pt idx="0">
                  <c:v>119.82142857142857</c:v>
                </c:pt>
                <c:pt idx="1">
                  <c:v>133.78571428571431</c:v>
                </c:pt>
                <c:pt idx="2">
                  <c:v>140.57142857142856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41-4DA5-9B47-D866E57BA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671040"/>
        <c:axId val="1129672480"/>
      </c:barChart>
      <c:catAx>
        <c:axId val="112967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0">
                    <a:solidFill>
                      <a:schemeClr val="tx1"/>
                    </a:solidFill>
                  </a:rPr>
                  <a:t>Momento de evaluación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9672480"/>
        <c:crosses val="autoZero"/>
        <c:auto val="1"/>
        <c:lblAlgn val="ctr"/>
        <c:lblOffset val="100"/>
        <c:noMultiLvlLbl val="0"/>
      </c:catAx>
      <c:valAx>
        <c:axId val="11296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0">
                    <a:solidFill>
                      <a:schemeClr val="tx1"/>
                    </a:solidFill>
                  </a:rPr>
                  <a:t>Altura</a:t>
                </a:r>
                <a:r>
                  <a:rPr lang="es-ES" b="0" baseline="0">
                    <a:solidFill>
                      <a:schemeClr val="tx1"/>
                    </a:solidFill>
                  </a:rPr>
                  <a:t> en cm</a:t>
                </a:r>
                <a:endParaRPr lang="es-ES" b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96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tx1"/>
                </a:solidFill>
              </a:rPr>
              <a:t>% de diferenciarespecto</a:t>
            </a:r>
            <a:r>
              <a:rPr lang="es-ES" baseline="0">
                <a:solidFill>
                  <a:schemeClr val="tx1"/>
                </a:solidFill>
              </a:rPr>
              <a:t> al control</a:t>
            </a:r>
          </a:p>
        </c:rich>
      </c:tx>
      <c:layout>
        <c:manualLayout>
          <c:xMode val="edge"/>
          <c:yMode val="edge"/>
          <c:x val="0.2265345581802274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'SHOOT LENGHT'!$R$7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'SHOOT LENGHT'!$S$6:$U$6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'SHOOT LENGHT'!$S$7:$U$7</c:f>
              <c:numCache>
                <c:formatCode>0.00</c:formatCode>
                <c:ptCount val="3"/>
                <c:pt idx="0">
                  <c:v>5.657410342053268</c:v>
                </c:pt>
                <c:pt idx="1">
                  <c:v>4.3250688705234239</c:v>
                </c:pt>
                <c:pt idx="2">
                  <c:v>3.6488294314381307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2-4438-A347-2C09417B869B}"/>
            </c:ext>
          </c:extLst>
        </c:ser>
        <c:ser>
          <c:idx val="1"/>
          <c:order val="1"/>
          <c:tx>
            <c:strRef>
              <c:f>'SHOOT LENGHT'!$R$8</c:f>
              <c:strCache>
                <c:ptCount val="1"/>
                <c:pt idx="0">
                  <c:v>CEPACET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'SHOOT LENGHT'!$S$6:$U$6</c:f>
              <c:strCache>
                <c:ptCount val="3"/>
                <c:pt idx="0">
                  <c:v>18DDT</c:v>
                </c:pt>
                <c:pt idx="1">
                  <c:v>95DDT</c:v>
                </c:pt>
                <c:pt idx="2">
                  <c:v>109DDT</c:v>
                </c:pt>
              </c:strCache>
            </c:strRef>
          </c:cat>
          <c:val>
            <c:numRef>
              <c:f>'SHOOT LENGHT'!$S$8:$U$8</c:f>
              <c:numCache>
                <c:formatCode>0.00</c:formatCode>
                <c:ptCount val="3"/>
                <c:pt idx="0">
                  <c:v>2.2441914328205286</c:v>
                </c:pt>
                <c:pt idx="1">
                  <c:v>3.1955922865013946</c:v>
                </c:pt>
                <c:pt idx="2">
                  <c:v>1.2606122974015932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2-4438-A347-2C09417B8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561199"/>
        <c:axId val="307563119"/>
      </c:barChart>
      <c:catAx>
        <c:axId val="30756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Momento de</a:t>
                </a:r>
                <a:r>
                  <a:rPr lang="es-ES" baseline="0">
                    <a:solidFill>
                      <a:schemeClr val="tx1"/>
                    </a:solidFill>
                  </a:rPr>
                  <a:t> evaluación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7563119"/>
        <c:crosses val="autoZero"/>
        <c:auto val="1"/>
        <c:lblAlgn val="ctr"/>
        <c:lblOffset val="100"/>
        <c:noMultiLvlLbl val="0"/>
      </c:catAx>
      <c:valAx>
        <c:axId val="30756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%</a:t>
                </a:r>
                <a:r>
                  <a:rPr lang="es-ES" baseline="0">
                    <a:solidFill>
                      <a:schemeClr val="tx1"/>
                    </a:solidFill>
                  </a:rPr>
                  <a:t> de diferencia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756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tx1"/>
                </a:solidFill>
              </a:rPr>
              <a:t>Foliar area</a:t>
            </a:r>
            <a:r>
              <a:rPr lang="es-ES" baseline="0">
                <a:solidFill>
                  <a:schemeClr val="tx1"/>
                </a:solidFill>
              </a:rPr>
              <a:t> cm2</a:t>
            </a:r>
            <a:endParaRPr lang="es-E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'LEAF AREA'!$M$9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'LEAF AREA'!$N$8:$P$8</c:f>
              <c:strCache>
                <c:ptCount val="3"/>
                <c:pt idx="0">
                  <c:v>3E</c:v>
                </c:pt>
                <c:pt idx="1">
                  <c:v>4E</c:v>
                </c:pt>
                <c:pt idx="2">
                  <c:v>5E</c:v>
                </c:pt>
              </c:strCache>
            </c:strRef>
          </c:cat>
          <c:val>
            <c:numRef>
              <c:f>'LEAF AREA'!$N$9:$P$9</c:f>
              <c:numCache>
                <c:formatCode>0.00</c:formatCode>
                <c:ptCount val="3"/>
                <c:pt idx="0">
                  <c:v>38.516449999999999</c:v>
                </c:pt>
                <c:pt idx="1">
                  <c:v>60.795333333333332</c:v>
                </c:pt>
                <c:pt idx="2">
                  <c:v>58.960333333333331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1-4D73-B7D6-EA1EAADE5190}"/>
            </c:ext>
          </c:extLst>
        </c:ser>
        <c:ser>
          <c:idx val="1"/>
          <c:order val="1"/>
          <c:tx>
            <c:strRef>
              <c:f>'LEAF AREA'!$M$10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'LEAF AREA'!$N$8:$P$8</c:f>
              <c:strCache>
                <c:ptCount val="3"/>
                <c:pt idx="0">
                  <c:v>3E</c:v>
                </c:pt>
                <c:pt idx="1">
                  <c:v>4E</c:v>
                </c:pt>
                <c:pt idx="2">
                  <c:v>5E</c:v>
                </c:pt>
              </c:strCache>
            </c:strRef>
          </c:cat>
          <c:val>
            <c:numRef>
              <c:f>'LEAF AREA'!$N$10:$P$10</c:f>
              <c:numCache>
                <c:formatCode>0.00</c:formatCode>
                <c:ptCount val="3"/>
                <c:pt idx="0">
                  <c:v>35.252000000000002</c:v>
                </c:pt>
                <c:pt idx="1">
                  <c:v>59.923133333333332</c:v>
                </c:pt>
                <c:pt idx="2">
                  <c:v>63.520666666666664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1-4D73-B7D6-EA1EAADE5190}"/>
            </c:ext>
          </c:extLst>
        </c:ser>
        <c:ser>
          <c:idx val="2"/>
          <c:order val="2"/>
          <c:tx>
            <c:strRef>
              <c:f>'LEAF AREA'!$M$11</c:f>
              <c:strCache>
                <c:ptCount val="1"/>
                <c:pt idx="0">
                  <c:v>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'LEAF AREA'!$N$8:$P$8</c:f>
              <c:strCache>
                <c:ptCount val="3"/>
                <c:pt idx="0">
                  <c:v>3E</c:v>
                </c:pt>
                <c:pt idx="1">
                  <c:v>4E</c:v>
                </c:pt>
                <c:pt idx="2">
                  <c:v>5E</c:v>
                </c:pt>
              </c:strCache>
            </c:strRef>
          </c:cat>
          <c:val>
            <c:numRef>
              <c:f>'LEAF AREA'!$N$11:$P$11</c:f>
              <c:numCache>
                <c:formatCode>0.00</c:formatCode>
                <c:ptCount val="3"/>
                <c:pt idx="0">
                  <c:v>39.410000000000004</c:v>
                </c:pt>
                <c:pt idx="1">
                  <c:v>57.237166666666667</c:v>
                </c:pt>
                <c:pt idx="2">
                  <c:v>60.418316666666669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1-4D73-B7D6-EA1EAADE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931551"/>
        <c:axId val="121941631"/>
      </c:barChart>
      <c:catAx>
        <c:axId val="12193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941631"/>
        <c:crosses val="autoZero"/>
        <c:auto val="1"/>
        <c:lblAlgn val="ctr"/>
        <c:lblOffset val="100"/>
        <c:noMultiLvlLbl val="0"/>
      </c:catAx>
      <c:valAx>
        <c:axId val="12194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Area in</a:t>
                </a:r>
                <a:r>
                  <a:rPr lang="es-ES" baseline="0">
                    <a:solidFill>
                      <a:schemeClr val="tx1"/>
                    </a:solidFill>
                  </a:rPr>
                  <a:t> cm2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9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tx1"/>
                </a:solidFill>
              </a:rPr>
              <a:t>Peso fresco</a:t>
            </a:r>
            <a:r>
              <a:rPr lang="es-ES" baseline="0">
                <a:solidFill>
                  <a:schemeClr val="tx1"/>
                </a:solidFill>
              </a:rPr>
              <a:t> aereo y de raíz</a:t>
            </a:r>
            <a:endParaRPr lang="es-E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WEIGHT!$L$3</c:f>
              <c:strCache>
                <c:ptCount val="1"/>
                <c:pt idx="0">
                  <c:v>FRESH AERIAL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WEIGHT!$K$4:$K$6</c:f>
              <c:strCache>
                <c:ptCount val="3"/>
                <c:pt idx="0">
                  <c:v>Control</c:v>
                </c:pt>
                <c:pt idx="1">
                  <c:v>Product B</c:v>
                </c:pt>
                <c:pt idx="2">
                  <c:v>CEPACET</c:v>
                </c:pt>
              </c:strCache>
            </c:strRef>
          </c:cat>
          <c:val>
            <c:numRef>
              <c:f>WEIGHT!$L$4:$L$6</c:f>
              <c:numCache>
                <c:formatCode>0.00</c:formatCode>
                <c:ptCount val="3"/>
                <c:pt idx="0">
                  <c:v>146.33333333333334</c:v>
                </c:pt>
                <c:pt idx="1">
                  <c:v>155.08333333333334</c:v>
                </c:pt>
                <c:pt idx="2">
                  <c:v>145.83333333333334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4-426F-B77D-64F0A5BE6BEE}"/>
            </c:ext>
          </c:extLst>
        </c:ser>
        <c:ser>
          <c:idx val="1"/>
          <c:order val="1"/>
          <c:tx>
            <c:strRef>
              <c:f>WEIGHT!$M$3</c:f>
              <c:strCache>
                <c:ptCount val="1"/>
                <c:pt idx="0">
                  <c:v>FRESH ROOT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WEIGHT!$K$4:$K$6</c:f>
              <c:strCache>
                <c:ptCount val="3"/>
                <c:pt idx="0">
                  <c:v>Control</c:v>
                </c:pt>
                <c:pt idx="1">
                  <c:v>Product B</c:v>
                </c:pt>
                <c:pt idx="2">
                  <c:v>CEPACET</c:v>
                </c:pt>
              </c:strCache>
            </c:strRef>
          </c:cat>
          <c:val>
            <c:numRef>
              <c:f>WEIGHT!$M$4:$M$6</c:f>
              <c:numCache>
                <c:formatCode>0.00</c:formatCode>
                <c:ptCount val="3"/>
                <c:pt idx="0">
                  <c:v>90</c:v>
                </c:pt>
                <c:pt idx="1">
                  <c:v>86.083333333333329</c:v>
                </c:pt>
                <c:pt idx="2">
                  <c:v>79.833333333333329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4-426F-B77D-64F0A5BE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08319"/>
        <c:axId val="76201119"/>
      </c:barChart>
      <c:catAx>
        <c:axId val="76208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01119"/>
        <c:crosses val="autoZero"/>
        <c:auto val="1"/>
        <c:lblAlgn val="ctr"/>
        <c:lblOffset val="100"/>
        <c:noMultiLvlLbl val="0"/>
      </c:catAx>
      <c:valAx>
        <c:axId val="762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0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tx1"/>
                </a:solidFill>
              </a:rPr>
              <a:t>%</a:t>
            </a:r>
            <a:r>
              <a:rPr lang="es-ES" baseline="0">
                <a:solidFill>
                  <a:schemeClr val="tx1"/>
                </a:solidFill>
              </a:rPr>
              <a:t> de diferencia respecto al testigo</a:t>
            </a:r>
            <a:endParaRPr lang="es-E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WEIGHT!$O$5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WEIGHT!$P$3:$Q$3</c:f>
              <c:strCache>
                <c:ptCount val="2"/>
                <c:pt idx="0">
                  <c:v>FRESH AERIAL</c:v>
                </c:pt>
                <c:pt idx="1">
                  <c:v>FRESH ROOT</c:v>
                </c:pt>
              </c:strCache>
            </c:strRef>
          </c:cat>
          <c:val>
            <c:numRef>
              <c:f>WEIGHT!$P$5:$Q$5</c:f>
              <c:numCache>
                <c:formatCode>0.00</c:formatCode>
                <c:ptCount val="2"/>
                <c:pt idx="0">
                  <c:v>5.9794988610478299</c:v>
                </c:pt>
                <c:pt idx="1">
                  <c:v>-4.3518518518518619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0-4858-80D0-0CE39A933DB3}"/>
            </c:ext>
          </c:extLst>
        </c:ser>
        <c:ser>
          <c:idx val="2"/>
          <c:order val="2"/>
          <c:tx>
            <c:strRef>
              <c:f>WEIGHT!$O$6</c:f>
              <c:strCache>
                <c:ptCount val="1"/>
                <c:pt idx="0">
                  <c:v>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WEIGHT!$P$3:$Q$3</c:f>
              <c:strCache>
                <c:ptCount val="2"/>
                <c:pt idx="0">
                  <c:v>FRESH AERIAL</c:v>
                </c:pt>
                <c:pt idx="1">
                  <c:v>FRESH ROOT</c:v>
                </c:pt>
              </c:strCache>
            </c:strRef>
          </c:cat>
          <c:val>
            <c:numRef>
              <c:f>WEIGHT!$P$6:$Q$6</c:f>
              <c:numCache>
                <c:formatCode>0.00</c:formatCode>
                <c:ptCount val="2"/>
                <c:pt idx="0">
                  <c:v>-0.3416856492027307</c:v>
                </c:pt>
                <c:pt idx="1">
                  <c:v>-11.296296296296305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50-4858-80D0-0CE39A933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54335"/>
        <c:axId val="1474576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WEIGHT!$O$4</c15:sqref>
                        </c15:formulaRef>
                      </c:ext>
                    </c:extLst>
                    <c:strCache>
                      <c:ptCount val="1"/>
                      <c:pt idx="0">
                        <c:v>Control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WEIGHT!$P$3:$Q$3</c15:sqref>
                        </c15:formulaRef>
                      </c:ext>
                    </c:extLst>
                    <c:strCache>
                      <c:ptCount val="2"/>
                      <c:pt idx="0">
                        <c:v>FRESH AERIAL</c:v>
                      </c:pt>
                      <c:pt idx="1">
                        <c:v>FRESH ROOT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WEIGHT!$P$4:$Q$4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50-4858-80D0-0CE39A933DB3}"/>
                  </c:ext>
                </c:extLst>
              </c15:ser>
            </c15:filteredBarSeries>
          </c:ext>
        </c:extLst>
      </c:barChart>
      <c:catAx>
        <c:axId val="14745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Parameter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457695"/>
        <c:crosses val="autoZero"/>
        <c:auto val="1"/>
        <c:lblAlgn val="ctr"/>
        <c:lblOffset val="100"/>
        <c:noMultiLvlLbl val="0"/>
      </c:catAx>
      <c:valAx>
        <c:axId val="14745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%</a:t>
                </a:r>
                <a:r>
                  <a:rPr lang="es-ES" baseline="0">
                    <a:solidFill>
                      <a:schemeClr val="tx1"/>
                    </a:solidFill>
                  </a:rPr>
                  <a:t> de diferencia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454335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Temperatura-Humedad Relativa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'Datos climáticos'!$D$1</c:f>
              <c:strCache>
                <c:ptCount val="1"/>
                <c:pt idx="0">
                  <c:v>Tª 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'Datos climáticos'!$A$2:$A$111</c:f>
              <c:numCache>
                <c:formatCode>m/d/yyyy</c:formatCode>
                <c:ptCount val="110"/>
                <c:pt idx="0">
                  <c:v>45369</c:v>
                </c:pt>
                <c:pt idx="1">
                  <c:v>45370</c:v>
                </c:pt>
                <c:pt idx="2">
                  <c:v>45371</c:v>
                </c:pt>
                <c:pt idx="3">
                  <c:v>45372</c:v>
                </c:pt>
                <c:pt idx="4">
                  <c:v>45373</c:v>
                </c:pt>
                <c:pt idx="5">
                  <c:v>45374</c:v>
                </c:pt>
                <c:pt idx="6">
                  <c:v>45375</c:v>
                </c:pt>
                <c:pt idx="7">
                  <c:v>45376</c:v>
                </c:pt>
                <c:pt idx="8">
                  <c:v>45377</c:v>
                </c:pt>
                <c:pt idx="9">
                  <c:v>45378</c:v>
                </c:pt>
                <c:pt idx="10">
                  <c:v>45379</c:v>
                </c:pt>
                <c:pt idx="11">
                  <c:v>45380</c:v>
                </c:pt>
                <c:pt idx="12">
                  <c:v>45381</c:v>
                </c:pt>
                <c:pt idx="13">
                  <c:v>45382</c:v>
                </c:pt>
                <c:pt idx="14">
                  <c:v>45383</c:v>
                </c:pt>
                <c:pt idx="15">
                  <c:v>45384</c:v>
                </c:pt>
                <c:pt idx="16">
                  <c:v>45385</c:v>
                </c:pt>
                <c:pt idx="17">
                  <c:v>45386</c:v>
                </c:pt>
                <c:pt idx="18">
                  <c:v>45387</c:v>
                </c:pt>
                <c:pt idx="19">
                  <c:v>45388</c:v>
                </c:pt>
                <c:pt idx="20">
                  <c:v>45389</c:v>
                </c:pt>
                <c:pt idx="21">
                  <c:v>45390</c:v>
                </c:pt>
                <c:pt idx="22">
                  <c:v>45391</c:v>
                </c:pt>
                <c:pt idx="23">
                  <c:v>45392</c:v>
                </c:pt>
                <c:pt idx="24">
                  <c:v>45393</c:v>
                </c:pt>
                <c:pt idx="25">
                  <c:v>45394</c:v>
                </c:pt>
                <c:pt idx="26">
                  <c:v>45395</c:v>
                </c:pt>
                <c:pt idx="27">
                  <c:v>45396</c:v>
                </c:pt>
                <c:pt idx="28">
                  <c:v>45397</c:v>
                </c:pt>
                <c:pt idx="29">
                  <c:v>45398</c:v>
                </c:pt>
                <c:pt idx="30">
                  <c:v>45399</c:v>
                </c:pt>
                <c:pt idx="31">
                  <c:v>45400</c:v>
                </c:pt>
                <c:pt idx="32">
                  <c:v>45401</c:v>
                </c:pt>
                <c:pt idx="33">
                  <c:v>45402</c:v>
                </c:pt>
                <c:pt idx="34">
                  <c:v>45403</c:v>
                </c:pt>
                <c:pt idx="35">
                  <c:v>45404</c:v>
                </c:pt>
                <c:pt idx="36">
                  <c:v>45405</c:v>
                </c:pt>
                <c:pt idx="37">
                  <c:v>45406</c:v>
                </c:pt>
                <c:pt idx="38">
                  <c:v>45407</c:v>
                </c:pt>
                <c:pt idx="39">
                  <c:v>45408</c:v>
                </c:pt>
                <c:pt idx="40">
                  <c:v>45409</c:v>
                </c:pt>
                <c:pt idx="41">
                  <c:v>45410</c:v>
                </c:pt>
                <c:pt idx="42">
                  <c:v>45411</c:v>
                </c:pt>
                <c:pt idx="43">
                  <c:v>45412</c:v>
                </c:pt>
                <c:pt idx="44">
                  <c:v>45413</c:v>
                </c:pt>
                <c:pt idx="45">
                  <c:v>45414</c:v>
                </c:pt>
                <c:pt idx="46">
                  <c:v>45415</c:v>
                </c:pt>
                <c:pt idx="47">
                  <c:v>45416</c:v>
                </c:pt>
                <c:pt idx="48">
                  <c:v>45417</c:v>
                </c:pt>
                <c:pt idx="49">
                  <c:v>45418</c:v>
                </c:pt>
                <c:pt idx="50">
                  <c:v>45419</c:v>
                </c:pt>
                <c:pt idx="51">
                  <c:v>45420</c:v>
                </c:pt>
                <c:pt idx="52">
                  <c:v>45421</c:v>
                </c:pt>
                <c:pt idx="53">
                  <c:v>45422</c:v>
                </c:pt>
                <c:pt idx="54">
                  <c:v>45423</c:v>
                </c:pt>
                <c:pt idx="55">
                  <c:v>45424</c:v>
                </c:pt>
                <c:pt idx="56">
                  <c:v>45425</c:v>
                </c:pt>
                <c:pt idx="57">
                  <c:v>45426</c:v>
                </c:pt>
                <c:pt idx="58">
                  <c:v>45427</c:v>
                </c:pt>
                <c:pt idx="59">
                  <c:v>45428</c:v>
                </c:pt>
                <c:pt idx="60">
                  <c:v>45429</c:v>
                </c:pt>
                <c:pt idx="61">
                  <c:v>45430</c:v>
                </c:pt>
                <c:pt idx="62">
                  <c:v>45431</c:v>
                </c:pt>
                <c:pt idx="63">
                  <c:v>45432</c:v>
                </c:pt>
                <c:pt idx="64">
                  <c:v>45433</c:v>
                </c:pt>
                <c:pt idx="65">
                  <c:v>45434</c:v>
                </c:pt>
                <c:pt idx="66">
                  <c:v>45435</c:v>
                </c:pt>
                <c:pt idx="67">
                  <c:v>45436</c:v>
                </c:pt>
                <c:pt idx="68">
                  <c:v>45437</c:v>
                </c:pt>
                <c:pt idx="69">
                  <c:v>45438</c:v>
                </c:pt>
                <c:pt idx="70">
                  <c:v>45439</c:v>
                </c:pt>
                <c:pt idx="71">
                  <c:v>45440</c:v>
                </c:pt>
                <c:pt idx="72">
                  <c:v>45441</c:v>
                </c:pt>
                <c:pt idx="73">
                  <c:v>45442</c:v>
                </c:pt>
                <c:pt idx="74">
                  <c:v>45443</c:v>
                </c:pt>
                <c:pt idx="75">
                  <c:v>45444</c:v>
                </c:pt>
                <c:pt idx="76">
                  <c:v>45445</c:v>
                </c:pt>
                <c:pt idx="77">
                  <c:v>45446</c:v>
                </c:pt>
                <c:pt idx="78">
                  <c:v>45447</c:v>
                </c:pt>
                <c:pt idx="79">
                  <c:v>45448</c:v>
                </c:pt>
                <c:pt idx="80">
                  <c:v>45449</c:v>
                </c:pt>
                <c:pt idx="81">
                  <c:v>45450</c:v>
                </c:pt>
                <c:pt idx="82">
                  <c:v>45451</c:v>
                </c:pt>
                <c:pt idx="83">
                  <c:v>45452</c:v>
                </c:pt>
                <c:pt idx="84">
                  <c:v>45453</c:v>
                </c:pt>
                <c:pt idx="85">
                  <c:v>45454</c:v>
                </c:pt>
                <c:pt idx="86">
                  <c:v>45455</c:v>
                </c:pt>
                <c:pt idx="87">
                  <c:v>45456</c:v>
                </c:pt>
                <c:pt idx="88">
                  <c:v>45457</c:v>
                </c:pt>
                <c:pt idx="89">
                  <c:v>45458</c:v>
                </c:pt>
                <c:pt idx="90">
                  <c:v>45459</c:v>
                </c:pt>
                <c:pt idx="91">
                  <c:v>45460</c:v>
                </c:pt>
                <c:pt idx="92">
                  <c:v>45461</c:v>
                </c:pt>
                <c:pt idx="93">
                  <c:v>45462</c:v>
                </c:pt>
                <c:pt idx="94">
                  <c:v>45463</c:v>
                </c:pt>
                <c:pt idx="95">
                  <c:v>45464</c:v>
                </c:pt>
                <c:pt idx="96">
                  <c:v>45465</c:v>
                </c:pt>
                <c:pt idx="97">
                  <c:v>45466</c:v>
                </c:pt>
                <c:pt idx="98">
                  <c:v>45467</c:v>
                </c:pt>
                <c:pt idx="99">
                  <c:v>45468</c:v>
                </c:pt>
                <c:pt idx="100">
                  <c:v>45469</c:v>
                </c:pt>
                <c:pt idx="101">
                  <c:v>45470</c:v>
                </c:pt>
                <c:pt idx="102">
                  <c:v>45471</c:v>
                </c:pt>
                <c:pt idx="103">
                  <c:v>45472</c:v>
                </c:pt>
                <c:pt idx="104">
                  <c:v>45473</c:v>
                </c:pt>
                <c:pt idx="105">
                  <c:v>45474</c:v>
                </c:pt>
                <c:pt idx="106">
                  <c:v>45475</c:v>
                </c:pt>
                <c:pt idx="107">
                  <c:v>45476</c:v>
                </c:pt>
                <c:pt idx="108">
                  <c:v>45477</c:v>
                </c:pt>
                <c:pt idx="109">
                  <c:v>45478</c:v>
                </c:pt>
              </c:numCache>
            </c:numRef>
          </c:cat>
          <c:val>
            <c:numRef>
              <c:f>'Datos climáticos'!$D$2:$D$111</c:f>
              <c:numCache>
                <c:formatCode>0.00</c:formatCode>
                <c:ptCount val="110"/>
                <c:pt idx="0">
                  <c:v>15.25</c:v>
                </c:pt>
                <c:pt idx="1">
                  <c:v>17.11</c:v>
                </c:pt>
                <c:pt idx="2">
                  <c:v>16.420000000000002</c:v>
                </c:pt>
                <c:pt idx="3">
                  <c:v>17.02</c:v>
                </c:pt>
                <c:pt idx="4">
                  <c:v>19.079999999999998</c:v>
                </c:pt>
                <c:pt idx="5">
                  <c:v>19.64</c:v>
                </c:pt>
                <c:pt idx="6">
                  <c:v>18.16</c:v>
                </c:pt>
                <c:pt idx="7">
                  <c:v>15.61</c:v>
                </c:pt>
                <c:pt idx="8">
                  <c:v>13.48</c:v>
                </c:pt>
                <c:pt idx="9">
                  <c:v>15.51</c:v>
                </c:pt>
                <c:pt idx="10">
                  <c:v>16.43</c:v>
                </c:pt>
                <c:pt idx="11">
                  <c:v>14.52</c:v>
                </c:pt>
                <c:pt idx="12">
                  <c:v>11.48</c:v>
                </c:pt>
                <c:pt idx="13">
                  <c:v>12.03</c:v>
                </c:pt>
                <c:pt idx="14">
                  <c:v>13.19</c:v>
                </c:pt>
                <c:pt idx="15">
                  <c:v>14.2</c:v>
                </c:pt>
                <c:pt idx="16">
                  <c:v>14.46</c:v>
                </c:pt>
                <c:pt idx="17">
                  <c:v>15.3</c:v>
                </c:pt>
                <c:pt idx="18">
                  <c:v>16.03</c:v>
                </c:pt>
                <c:pt idx="19">
                  <c:v>19.97</c:v>
                </c:pt>
                <c:pt idx="20">
                  <c:v>18.32</c:v>
                </c:pt>
                <c:pt idx="21">
                  <c:v>19.329999999999998</c:v>
                </c:pt>
                <c:pt idx="22">
                  <c:v>17.329999999999998</c:v>
                </c:pt>
                <c:pt idx="23">
                  <c:v>14.91</c:v>
                </c:pt>
                <c:pt idx="24">
                  <c:v>14.83</c:v>
                </c:pt>
                <c:pt idx="25">
                  <c:v>14.76</c:v>
                </c:pt>
                <c:pt idx="26">
                  <c:v>15.37</c:v>
                </c:pt>
                <c:pt idx="27">
                  <c:v>16.34</c:v>
                </c:pt>
                <c:pt idx="28">
                  <c:v>18.010000000000002</c:v>
                </c:pt>
                <c:pt idx="29">
                  <c:v>20.13</c:v>
                </c:pt>
                <c:pt idx="30">
                  <c:v>18.88</c:v>
                </c:pt>
                <c:pt idx="31">
                  <c:v>17.559999999999999</c:v>
                </c:pt>
                <c:pt idx="32">
                  <c:v>17.510000000000002</c:v>
                </c:pt>
                <c:pt idx="33">
                  <c:v>16.32</c:v>
                </c:pt>
                <c:pt idx="34">
                  <c:v>16.75</c:v>
                </c:pt>
                <c:pt idx="35">
                  <c:v>15.78</c:v>
                </c:pt>
                <c:pt idx="36">
                  <c:v>17.16</c:v>
                </c:pt>
                <c:pt idx="37">
                  <c:v>16.53</c:v>
                </c:pt>
                <c:pt idx="38">
                  <c:v>16.97</c:v>
                </c:pt>
                <c:pt idx="39">
                  <c:v>17.899999999999999</c:v>
                </c:pt>
                <c:pt idx="40">
                  <c:v>15.46</c:v>
                </c:pt>
                <c:pt idx="41">
                  <c:v>16.22</c:v>
                </c:pt>
                <c:pt idx="42">
                  <c:v>16.45</c:v>
                </c:pt>
                <c:pt idx="43">
                  <c:v>16.399999999999999</c:v>
                </c:pt>
                <c:pt idx="44">
                  <c:v>17.21</c:v>
                </c:pt>
                <c:pt idx="45">
                  <c:v>16.079999999999998</c:v>
                </c:pt>
                <c:pt idx="46">
                  <c:v>16.739999999999998</c:v>
                </c:pt>
                <c:pt idx="47">
                  <c:v>15.87</c:v>
                </c:pt>
                <c:pt idx="48">
                  <c:v>17.86</c:v>
                </c:pt>
                <c:pt idx="49">
                  <c:v>20.59</c:v>
                </c:pt>
                <c:pt idx="50">
                  <c:v>19.13</c:v>
                </c:pt>
                <c:pt idx="51">
                  <c:v>17.22</c:v>
                </c:pt>
                <c:pt idx="52">
                  <c:v>17.96</c:v>
                </c:pt>
                <c:pt idx="53">
                  <c:v>18.100000000000001</c:v>
                </c:pt>
                <c:pt idx="54">
                  <c:v>19.23</c:v>
                </c:pt>
                <c:pt idx="55">
                  <c:v>17.72</c:v>
                </c:pt>
                <c:pt idx="56">
                  <c:v>17.98</c:v>
                </c:pt>
                <c:pt idx="57">
                  <c:v>20.260000000000002</c:v>
                </c:pt>
                <c:pt idx="58">
                  <c:v>21.22</c:v>
                </c:pt>
                <c:pt idx="59">
                  <c:v>20.100000000000001</c:v>
                </c:pt>
                <c:pt idx="60">
                  <c:v>20.149999999999999</c:v>
                </c:pt>
                <c:pt idx="61">
                  <c:v>18.329999999999998</c:v>
                </c:pt>
                <c:pt idx="62">
                  <c:v>18.190000000000001</c:v>
                </c:pt>
                <c:pt idx="63">
                  <c:v>18.32</c:v>
                </c:pt>
                <c:pt idx="64">
                  <c:v>19.38</c:v>
                </c:pt>
                <c:pt idx="65">
                  <c:v>20.79</c:v>
                </c:pt>
                <c:pt idx="66">
                  <c:v>19.25</c:v>
                </c:pt>
                <c:pt idx="67">
                  <c:v>19.28</c:v>
                </c:pt>
                <c:pt idx="68">
                  <c:v>19.600000000000001</c:v>
                </c:pt>
                <c:pt idx="69">
                  <c:v>20.57</c:v>
                </c:pt>
                <c:pt idx="70">
                  <c:v>20.309999999999999</c:v>
                </c:pt>
                <c:pt idx="71">
                  <c:v>20.350000000000001</c:v>
                </c:pt>
                <c:pt idx="72">
                  <c:v>20.72</c:v>
                </c:pt>
                <c:pt idx="73">
                  <c:v>20.2</c:v>
                </c:pt>
                <c:pt idx="74">
                  <c:v>21.38</c:v>
                </c:pt>
                <c:pt idx="75">
                  <c:v>20.63</c:v>
                </c:pt>
                <c:pt idx="76">
                  <c:v>20.46</c:v>
                </c:pt>
                <c:pt idx="77">
                  <c:v>20.64</c:v>
                </c:pt>
                <c:pt idx="78">
                  <c:v>20.74</c:v>
                </c:pt>
                <c:pt idx="79">
                  <c:v>20.71</c:v>
                </c:pt>
                <c:pt idx="80">
                  <c:v>25.02</c:v>
                </c:pt>
                <c:pt idx="81">
                  <c:v>24.12</c:v>
                </c:pt>
                <c:pt idx="82">
                  <c:v>22.54</c:v>
                </c:pt>
                <c:pt idx="83">
                  <c:v>20.6</c:v>
                </c:pt>
                <c:pt idx="84">
                  <c:v>22.47</c:v>
                </c:pt>
                <c:pt idx="85">
                  <c:v>21.43</c:v>
                </c:pt>
                <c:pt idx="86">
                  <c:v>21.13</c:v>
                </c:pt>
                <c:pt idx="87">
                  <c:v>21.16</c:v>
                </c:pt>
                <c:pt idx="88">
                  <c:v>22.74</c:v>
                </c:pt>
                <c:pt idx="89">
                  <c:v>23.15</c:v>
                </c:pt>
                <c:pt idx="90">
                  <c:v>21.02</c:v>
                </c:pt>
                <c:pt idx="91">
                  <c:v>21.04</c:v>
                </c:pt>
                <c:pt idx="92">
                  <c:v>22.02</c:v>
                </c:pt>
                <c:pt idx="93">
                  <c:v>20.96</c:v>
                </c:pt>
                <c:pt idx="94">
                  <c:v>20.77</c:v>
                </c:pt>
                <c:pt idx="95">
                  <c:v>23.26</c:v>
                </c:pt>
                <c:pt idx="96">
                  <c:v>22.62</c:v>
                </c:pt>
                <c:pt idx="97">
                  <c:v>22.33</c:v>
                </c:pt>
                <c:pt idx="98">
                  <c:v>22.51</c:v>
                </c:pt>
                <c:pt idx="99">
                  <c:v>22.73</c:v>
                </c:pt>
                <c:pt idx="100">
                  <c:v>23.24</c:v>
                </c:pt>
                <c:pt idx="101">
                  <c:v>21.99</c:v>
                </c:pt>
                <c:pt idx="102">
                  <c:v>23.4</c:v>
                </c:pt>
                <c:pt idx="103">
                  <c:v>22.34</c:v>
                </c:pt>
                <c:pt idx="104">
                  <c:v>22.03</c:v>
                </c:pt>
                <c:pt idx="105">
                  <c:v>23.21</c:v>
                </c:pt>
                <c:pt idx="106">
                  <c:v>23.04</c:v>
                </c:pt>
                <c:pt idx="107">
                  <c:v>23.4</c:v>
                </c:pt>
                <c:pt idx="108">
                  <c:v>25.44</c:v>
                </c:pt>
                <c:pt idx="109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F-4FB2-923E-D1FE40F7B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314288"/>
        <c:axId val="17053030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'Datos climáticos'!$B$1</c15:sqref>
                        </c15:formulaRef>
                      </c:ext>
                    </c:extLst>
                    <c:strCache>
                      <c:ptCount val="1"/>
                      <c:pt idx="0">
                        <c:v>Tª min (ºC)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'Datos climáticos'!$A$2:$A$111</c15:sqref>
                        </c15:formulaRef>
                      </c:ext>
                    </c:extLst>
                    <c:numCache>
                      <c:formatCode>m/d/yyyy</c:formatCode>
                      <c:ptCount val="110"/>
                      <c:pt idx="0">
                        <c:v>45369</c:v>
                      </c:pt>
                      <c:pt idx="1">
                        <c:v>45370</c:v>
                      </c:pt>
                      <c:pt idx="2">
                        <c:v>45371</c:v>
                      </c:pt>
                      <c:pt idx="3">
                        <c:v>45372</c:v>
                      </c:pt>
                      <c:pt idx="4">
                        <c:v>45373</c:v>
                      </c:pt>
                      <c:pt idx="5">
                        <c:v>45374</c:v>
                      </c:pt>
                      <c:pt idx="6">
                        <c:v>45375</c:v>
                      </c:pt>
                      <c:pt idx="7">
                        <c:v>45376</c:v>
                      </c:pt>
                      <c:pt idx="8">
                        <c:v>45377</c:v>
                      </c:pt>
                      <c:pt idx="9">
                        <c:v>45378</c:v>
                      </c:pt>
                      <c:pt idx="10">
                        <c:v>45379</c:v>
                      </c:pt>
                      <c:pt idx="11">
                        <c:v>45380</c:v>
                      </c:pt>
                      <c:pt idx="12">
                        <c:v>45381</c:v>
                      </c:pt>
                      <c:pt idx="13">
                        <c:v>45382</c:v>
                      </c:pt>
                      <c:pt idx="14">
                        <c:v>45383</c:v>
                      </c:pt>
                      <c:pt idx="15">
                        <c:v>45384</c:v>
                      </c:pt>
                      <c:pt idx="16">
                        <c:v>45385</c:v>
                      </c:pt>
                      <c:pt idx="17">
                        <c:v>45386</c:v>
                      </c:pt>
                      <c:pt idx="18">
                        <c:v>45387</c:v>
                      </c:pt>
                      <c:pt idx="19">
                        <c:v>45388</c:v>
                      </c:pt>
                      <c:pt idx="20">
                        <c:v>45389</c:v>
                      </c:pt>
                      <c:pt idx="21">
                        <c:v>45390</c:v>
                      </c:pt>
                      <c:pt idx="22">
                        <c:v>45391</c:v>
                      </c:pt>
                      <c:pt idx="23">
                        <c:v>45392</c:v>
                      </c:pt>
                      <c:pt idx="24">
                        <c:v>45393</c:v>
                      </c:pt>
                      <c:pt idx="25">
                        <c:v>45394</c:v>
                      </c:pt>
                      <c:pt idx="26">
                        <c:v>45395</c:v>
                      </c:pt>
                      <c:pt idx="27">
                        <c:v>45396</c:v>
                      </c:pt>
                      <c:pt idx="28">
                        <c:v>45397</c:v>
                      </c:pt>
                      <c:pt idx="29">
                        <c:v>45398</c:v>
                      </c:pt>
                      <c:pt idx="30">
                        <c:v>45399</c:v>
                      </c:pt>
                      <c:pt idx="31">
                        <c:v>45400</c:v>
                      </c:pt>
                      <c:pt idx="32">
                        <c:v>45401</c:v>
                      </c:pt>
                      <c:pt idx="33">
                        <c:v>45402</c:v>
                      </c:pt>
                      <c:pt idx="34">
                        <c:v>45403</c:v>
                      </c:pt>
                      <c:pt idx="35">
                        <c:v>45404</c:v>
                      </c:pt>
                      <c:pt idx="36">
                        <c:v>45405</c:v>
                      </c:pt>
                      <c:pt idx="37">
                        <c:v>45406</c:v>
                      </c:pt>
                      <c:pt idx="38">
                        <c:v>45407</c:v>
                      </c:pt>
                      <c:pt idx="39">
                        <c:v>45408</c:v>
                      </c:pt>
                      <c:pt idx="40">
                        <c:v>45409</c:v>
                      </c:pt>
                      <c:pt idx="41">
                        <c:v>45410</c:v>
                      </c:pt>
                      <c:pt idx="42">
                        <c:v>45411</c:v>
                      </c:pt>
                      <c:pt idx="43">
                        <c:v>45412</c:v>
                      </c:pt>
                      <c:pt idx="44">
                        <c:v>45413</c:v>
                      </c:pt>
                      <c:pt idx="45">
                        <c:v>45414</c:v>
                      </c:pt>
                      <c:pt idx="46">
                        <c:v>45415</c:v>
                      </c:pt>
                      <c:pt idx="47">
                        <c:v>45416</c:v>
                      </c:pt>
                      <c:pt idx="48">
                        <c:v>45417</c:v>
                      </c:pt>
                      <c:pt idx="49">
                        <c:v>45418</c:v>
                      </c:pt>
                      <c:pt idx="50">
                        <c:v>45419</c:v>
                      </c:pt>
                      <c:pt idx="51">
                        <c:v>45420</c:v>
                      </c:pt>
                      <c:pt idx="52">
                        <c:v>45421</c:v>
                      </c:pt>
                      <c:pt idx="53">
                        <c:v>45422</c:v>
                      </c:pt>
                      <c:pt idx="54">
                        <c:v>45423</c:v>
                      </c:pt>
                      <c:pt idx="55">
                        <c:v>45424</c:v>
                      </c:pt>
                      <c:pt idx="56">
                        <c:v>45425</c:v>
                      </c:pt>
                      <c:pt idx="57">
                        <c:v>45426</c:v>
                      </c:pt>
                      <c:pt idx="58">
                        <c:v>45427</c:v>
                      </c:pt>
                      <c:pt idx="59">
                        <c:v>45428</c:v>
                      </c:pt>
                      <c:pt idx="60">
                        <c:v>45429</c:v>
                      </c:pt>
                      <c:pt idx="61">
                        <c:v>45430</c:v>
                      </c:pt>
                      <c:pt idx="62">
                        <c:v>45431</c:v>
                      </c:pt>
                      <c:pt idx="63">
                        <c:v>45432</c:v>
                      </c:pt>
                      <c:pt idx="64">
                        <c:v>45433</c:v>
                      </c:pt>
                      <c:pt idx="65">
                        <c:v>45434</c:v>
                      </c:pt>
                      <c:pt idx="66">
                        <c:v>45435</c:v>
                      </c:pt>
                      <c:pt idx="67">
                        <c:v>45436</c:v>
                      </c:pt>
                      <c:pt idx="68">
                        <c:v>45437</c:v>
                      </c:pt>
                      <c:pt idx="69">
                        <c:v>45438</c:v>
                      </c:pt>
                      <c:pt idx="70">
                        <c:v>45439</c:v>
                      </c:pt>
                      <c:pt idx="71">
                        <c:v>45440</c:v>
                      </c:pt>
                      <c:pt idx="72">
                        <c:v>45441</c:v>
                      </c:pt>
                      <c:pt idx="73">
                        <c:v>45442</c:v>
                      </c:pt>
                      <c:pt idx="74">
                        <c:v>45443</c:v>
                      </c:pt>
                      <c:pt idx="75">
                        <c:v>45444</c:v>
                      </c:pt>
                      <c:pt idx="76">
                        <c:v>45445</c:v>
                      </c:pt>
                      <c:pt idx="77">
                        <c:v>45446</c:v>
                      </c:pt>
                      <c:pt idx="78">
                        <c:v>45447</c:v>
                      </c:pt>
                      <c:pt idx="79">
                        <c:v>45448</c:v>
                      </c:pt>
                      <c:pt idx="80">
                        <c:v>45449</c:v>
                      </c:pt>
                      <c:pt idx="81">
                        <c:v>45450</c:v>
                      </c:pt>
                      <c:pt idx="82">
                        <c:v>45451</c:v>
                      </c:pt>
                      <c:pt idx="83">
                        <c:v>45452</c:v>
                      </c:pt>
                      <c:pt idx="84">
                        <c:v>45453</c:v>
                      </c:pt>
                      <c:pt idx="85">
                        <c:v>45454</c:v>
                      </c:pt>
                      <c:pt idx="86">
                        <c:v>45455</c:v>
                      </c:pt>
                      <c:pt idx="87">
                        <c:v>45456</c:v>
                      </c:pt>
                      <c:pt idx="88">
                        <c:v>45457</c:v>
                      </c:pt>
                      <c:pt idx="89">
                        <c:v>45458</c:v>
                      </c:pt>
                      <c:pt idx="90">
                        <c:v>45459</c:v>
                      </c:pt>
                      <c:pt idx="91">
                        <c:v>45460</c:v>
                      </c:pt>
                      <c:pt idx="92">
                        <c:v>45461</c:v>
                      </c:pt>
                      <c:pt idx="93">
                        <c:v>45462</c:v>
                      </c:pt>
                      <c:pt idx="94">
                        <c:v>45463</c:v>
                      </c:pt>
                      <c:pt idx="95">
                        <c:v>45464</c:v>
                      </c:pt>
                      <c:pt idx="96">
                        <c:v>45465</c:v>
                      </c:pt>
                      <c:pt idx="97">
                        <c:v>45466</c:v>
                      </c:pt>
                      <c:pt idx="98">
                        <c:v>45467</c:v>
                      </c:pt>
                      <c:pt idx="99">
                        <c:v>45468</c:v>
                      </c:pt>
                      <c:pt idx="100">
                        <c:v>45469</c:v>
                      </c:pt>
                      <c:pt idx="101">
                        <c:v>45470</c:v>
                      </c:pt>
                      <c:pt idx="102">
                        <c:v>45471</c:v>
                      </c:pt>
                      <c:pt idx="103">
                        <c:v>45472</c:v>
                      </c:pt>
                      <c:pt idx="104">
                        <c:v>45473</c:v>
                      </c:pt>
                      <c:pt idx="105">
                        <c:v>45474</c:v>
                      </c:pt>
                      <c:pt idx="106">
                        <c:v>45475</c:v>
                      </c:pt>
                      <c:pt idx="107">
                        <c:v>45476</c:v>
                      </c:pt>
                      <c:pt idx="108">
                        <c:v>45477</c:v>
                      </c:pt>
                      <c:pt idx="109">
                        <c:v>45478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'Datos climáticos'!$B$2:$B$111</c15:sqref>
                        </c15:formulaRef>
                      </c:ext>
                    </c:extLst>
                    <c:numCache>
                      <c:formatCode>0.00</c:formatCode>
                      <c:ptCount val="110"/>
                      <c:pt idx="0">
                        <c:v>8.3800000000000008</c:v>
                      </c:pt>
                      <c:pt idx="1">
                        <c:v>11.17</c:v>
                      </c:pt>
                      <c:pt idx="2">
                        <c:v>10.97</c:v>
                      </c:pt>
                      <c:pt idx="3">
                        <c:v>12.24</c:v>
                      </c:pt>
                      <c:pt idx="4">
                        <c:v>13.49</c:v>
                      </c:pt>
                      <c:pt idx="5">
                        <c:v>13.62</c:v>
                      </c:pt>
                      <c:pt idx="6">
                        <c:v>13.97</c:v>
                      </c:pt>
                      <c:pt idx="7">
                        <c:v>13.5</c:v>
                      </c:pt>
                      <c:pt idx="8">
                        <c:v>9.83</c:v>
                      </c:pt>
                      <c:pt idx="9">
                        <c:v>12.24</c:v>
                      </c:pt>
                      <c:pt idx="10">
                        <c:v>14.29</c:v>
                      </c:pt>
                      <c:pt idx="11">
                        <c:v>11.57</c:v>
                      </c:pt>
                      <c:pt idx="12">
                        <c:v>9.77</c:v>
                      </c:pt>
                      <c:pt idx="13">
                        <c:v>8.31</c:v>
                      </c:pt>
                      <c:pt idx="14">
                        <c:v>6.78</c:v>
                      </c:pt>
                      <c:pt idx="15">
                        <c:v>7.64</c:v>
                      </c:pt>
                      <c:pt idx="16">
                        <c:v>7.51</c:v>
                      </c:pt>
                      <c:pt idx="17">
                        <c:v>8.24</c:v>
                      </c:pt>
                      <c:pt idx="18">
                        <c:v>8.3800000000000008</c:v>
                      </c:pt>
                      <c:pt idx="19">
                        <c:v>11.44</c:v>
                      </c:pt>
                      <c:pt idx="20">
                        <c:v>14.43</c:v>
                      </c:pt>
                      <c:pt idx="21">
                        <c:v>12.97</c:v>
                      </c:pt>
                      <c:pt idx="22">
                        <c:v>12.04</c:v>
                      </c:pt>
                      <c:pt idx="23">
                        <c:v>8.4499999999999993</c:v>
                      </c:pt>
                      <c:pt idx="24">
                        <c:v>7.64</c:v>
                      </c:pt>
                      <c:pt idx="25">
                        <c:v>9.7100000000000009</c:v>
                      </c:pt>
                      <c:pt idx="26">
                        <c:v>9.64</c:v>
                      </c:pt>
                      <c:pt idx="27">
                        <c:v>9.31</c:v>
                      </c:pt>
                      <c:pt idx="28">
                        <c:v>10.3</c:v>
                      </c:pt>
                      <c:pt idx="29">
                        <c:v>11.9</c:v>
                      </c:pt>
                      <c:pt idx="30">
                        <c:v>13.64</c:v>
                      </c:pt>
                      <c:pt idx="31">
                        <c:v>13.64</c:v>
                      </c:pt>
                      <c:pt idx="32">
                        <c:v>13.57</c:v>
                      </c:pt>
                      <c:pt idx="33">
                        <c:v>14.03</c:v>
                      </c:pt>
                      <c:pt idx="34">
                        <c:v>11.97</c:v>
                      </c:pt>
                      <c:pt idx="35">
                        <c:v>9.17</c:v>
                      </c:pt>
                      <c:pt idx="36">
                        <c:v>13.51</c:v>
                      </c:pt>
                      <c:pt idx="37">
                        <c:v>10.57</c:v>
                      </c:pt>
                      <c:pt idx="38">
                        <c:v>10.5</c:v>
                      </c:pt>
                      <c:pt idx="39">
                        <c:v>12.57</c:v>
                      </c:pt>
                      <c:pt idx="40">
                        <c:v>11.1</c:v>
                      </c:pt>
                      <c:pt idx="41">
                        <c:v>9.6999999999999993</c:v>
                      </c:pt>
                      <c:pt idx="42">
                        <c:v>11.04</c:v>
                      </c:pt>
                      <c:pt idx="43">
                        <c:v>10.029999999999999</c:v>
                      </c:pt>
                      <c:pt idx="44">
                        <c:v>11.64</c:v>
                      </c:pt>
                      <c:pt idx="45">
                        <c:v>10.43</c:v>
                      </c:pt>
                      <c:pt idx="46">
                        <c:v>8.9</c:v>
                      </c:pt>
                      <c:pt idx="47">
                        <c:v>7.04</c:v>
                      </c:pt>
                      <c:pt idx="48">
                        <c:v>8.9700000000000006</c:v>
                      </c:pt>
                      <c:pt idx="49">
                        <c:v>12.71</c:v>
                      </c:pt>
                      <c:pt idx="50">
                        <c:v>13.22</c:v>
                      </c:pt>
                      <c:pt idx="51">
                        <c:v>11.24</c:v>
                      </c:pt>
                      <c:pt idx="52">
                        <c:v>10.43</c:v>
                      </c:pt>
                      <c:pt idx="53">
                        <c:v>11.5</c:v>
                      </c:pt>
                      <c:pt idx="54">
                        <c:v>13.16</c:v>
                      </c:pt>
                      <c:pt idx="55">
                        <c:v>11.44</c:v>
                      </c:pt>
                      <c:pt idx="56">
                        <c:v>11.24</c:v>
                      </c:pt>
                      <c:pt idx="57">
                        <c:v>12.64</c:v>
                      </c:pt>
                      <c:pt idx="58">
                        <c:v>17.63</c:v>
                      </c:pt>
                      <c:pt idx="59">
                        <c:v>17.02</c:v>
                      </c:pt>
                      <c:pt idx="60">
                        <c:v>13.29</c:v>
                      </c:pt>
                      <c:pt idx="61">
                        <c:v>11.3</c:v>
                      </c:pt>
                      <c:pt idx="62">
                        <c:v>11.9</c:v>
                      </c:pt>
                      <c:pt idx="63">
                        <c:v>12.44</c:v>
                      </c:pt>
                      <c:pt idx="64">
                        <c:v>11.5</c:v>
                      </c:pt>
                      <c:pt idx="65">
                        <c:v>14.76</c:v>
                      </c:pt>
                      <c:pt idx="66">
                        <c:v>12.17</c:v>
                      </c:pt>
                      <c:pt idx="67">
                        <c:v>13.71</c:v>
                      </c:pt>
                      <c:pt idx="68">
                        <c:v>14.29</c:v>
                      </c:pt>
                      <c:pt idx="69">
                        <c:v>15.63</c:v>
                      </c:pt>
                      <c:pt idx="70">
                        <c:v>15.09</c:v>
                      </c:pt>
                      <c:pt idx="71">
                        <c:v>15.69</c:v>
                      </c:pt>
                      <c:pt idx="72">
                        <c:v>16.29</c:v>
                      </c:pt>
                      <c:pt idx="73">
                        <c:v>13.44</c:v>
                      </c:pt>
                      <c:pt idx="74">
                        <c:v>14.49</c:v>
                      </c:pt>
                      <c:pt idx="75">
                        <c:v>16.89</c:v>
                      </c:pt>
                      <c:pt idx="76">
                        <c:v>16.89</c:v>
                      </c:pt>
                      <c:pt idx="77">
                        <c:v>13.9</c:v>
                      </c:pt>
                      <c:pt idx="78">
                        <c:v>14.42</c:v>
                      </c:pt>
                      <c:pt idx="79">
                        <c:v>13.64</c:v>
                      </c:pt>
                      <c:pt idx="80">
                        <c:v>17.760000000000002</c:v>
                      </c:pt>
                      <c:pt idx="81">
                        <c:v>18.88</c:v>
                      </c:pt>
                      <c:pt idx="82">
                        <c:v>17.48</c:v>
                      </c:pt>
                      <c:pt idx="83">
                        <c:v>13.9</c:v>
                      </c:pt>
                      <c:pt idx="84">
                        <c:v>16.43</c:v>
                      </c:pt>
                      <c:pt idx="85">
                        <c:v>15.89</c:v>
                      </c:pt>
                      <c:pt idx="86">
                        <c:v>14.96</c:v>
                      </c:pt>
                      <c:pt idx="87">
                        <c:v>17.670000000000002</c:v>
                      </c:pt>
                      <c:pt idx="88">
                        <c:v>16.29</c:v>
                      </c:pt>
                      <c:pt idx="89">
                        <c:v>17.23</c:v>
                      </c:pt>
                      <c:pt idx="90">
                        <c:v>13.51</c:v>
                      </c:pt>
                      <c:pt idx="91">
                        <c:v>14.82</c:v>
                      </c:pt>
                      <c:pt idx="92">
                        <c:v>14.56</c:v>
                      </c:pt>
                      <c:pt idx="93">
                        <c:v>14.76</c:v>
                      </c:pt>
                      <c:pt idx="94">
                        <c:v>12.77</c:v>
                      </c:pt>
                      <c:pt idx="95">
                        <c:v>15.49</c:v>
                      </c:pt>
                      <c:pt idx="96">
                        <c:v>15.09</c:v>
                      </c:pt>
                      <c:pt idx="97">
                        <c:v>14.96</c:v>
                      </c:pt>
                      <c:pt idx="98">
                        <c:v>16.29</c:v>
                      </c:pt>
                      <c:pt idx="99">
                        <c:v>16.16</c:v>
                      </c:pt>
                      <c:pt idx="100">
                        <c:v>18.420000000000002</c:v>
                      </c:pt>
                      <c:pt idx="101">
                        <c:v>17.559999999999999</c:v>
                      </c:pt>
                      <c:pt idx="102">
                        <c:v>16.89</c:v>
                      </c:pt>
                      <c:pt idx="103">
                        <c:v>15.16</c:v>
                      </c:pt>
                      <c:pt idx="104">
                        <c:v>16.09</c:v>
                      </c:pt>
                      <c:pt idx="105">
                        <c:v>16.36</c:v>
                      </c:pt>
                      <c:pt idx="106">
                        <c:v>16.690000000000001</c:v>
                      </c:pt>
                      <c:pt idx="107">
                        <c:v>15.76</c:v>
                      </c:pt>
                      <c:pt idx="108">
                        <c:v>17.100000000000001</c:v>
                      </c:pt>
                      <c:pt idx="109">
                        <c:v>15.89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E7F-4FB2-923E-D1FE40F7B61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climáticos'!$C$1</c15:sqref>
                        </c15:formulaRef>
                      </c:ext>
                    </c:extLst>
                    <c:strCache>
                      <c:ptCount val="1"/>
                      <c:pt idx="0">
                        <c:v>Tª max (ºC)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climáticos'!$A$2:$A$111</c15:sqref>
                        </c15:formulaRef>
                      </c:ext>
                    </c:extLst>
                    <c:numCache>
                      <c:formatCode>m/d/yyyy</c:formatCode>
                      <c:ptCount val="110"/>
                      <c:pt idx="0">
                        <c:v>45369</c:v>
                      </c:pt>
                      <c:pt idx="1">
                        <c:v>45370</c:v>
                      </c:pt>
                      <c:pt idx="2">
                        <c:v>45371</c:v>
                      </c:pt>
                      <c:pt idx="3">
                        <c:v>45372</c:v>
                      </c:pt>
                      <c:pt idx="4">
                        <c:v>45373</c:v>
                      </c:pt>
                      <c:pt idx="5">
                        <c:v>45374</c:v>
                      </c:pt>
                      <c:pt idx="6">
                        <c:v>45375</c:v>
                      </c:pt>
                      <c:pt idx="7">
                        <c:v>45376</c:v>
                      </c:pt>
                      <c:pt idx="8">
                        <c:v>45377</c:v>
                      </c:pt>
                      <c:pt idx="9">
                        <c:v>45378</c:v>
                      </c:pt>
                      <c:pt idx="10">
                        <c:v>45379</c:v>
                      </c:pt>
                      <c:pt idx="11">
                        <c:v>45380</c:v>
                      </c:pt>
                      <c:pt idx="12">
                        <c:v>45381</c:v>
                      </c:pt>
                      <c:pt idx="13">
                        <c:v>45382</c:v>
                      </c:pt>
                      <c:pt idx="14">
                        <c:v>45383</c:v>
                      </c:pt>
                      <c:pt idx="15">
                        <c:v>45384</c:v>
                      </c:pt>
                      <c:pt idx="16">
                        <c:v>45385</c:v>
                      </c:pt>
                      <c:pt idx="17">
                        <c:v>45386</c:v>
                      </c:pt>
                      <c:pt idx="18">
                        <c:v>45387</c:v>
                      </c:pt>
                      <c:pt idx="19">
                        <c:v>45388</c:v>
                      </c:pt>
                      <c:pt idx="20">
                        <c:v>45389</c:v>
                      </c:pt>
                      <c:pt idx="21">
                        <c:v>45390</c:v>
                      </c:pt>
                      <c:pt idx="22">
                        <c:v>45391</c:v>
                      </c:pt>
                      <c:pt idx="23">
                        <c:v>45392</c:v>
                      </c:pt>
                      <c:pt idx="24">
                        <c:v>45393</c:v>
                      </c:pt>
                      <c:pt idx="25">
                        <c:v>45394</c:v>
                      </c:pt>
                      <c:pt idx="26">
                        <c:v>45395</c:v>
                      </c:pt>
                      <c:pt idx="27">
                        <c:v>45396</c:v>
                      </c:pt>
                      <c:pt idx="28">
                        <c:v>45397</c:v>
                      </c:pt>
                      <c:pt idx="29">
                        <c:v>45398</c:v>
                      </c:pt>
                      <c:pt idx="30">
                        <c:v>45399</c:v>
                      </c:pt>
                      <c:pt idx="31">
                        <c:v>45400</c:v>
                      </c:pt>
                      <c:pt idx="32">
                        <c:v>45401</c:v>
                      </c:pt>
                      <c:pt idx="33">
                        <c:v>45402</c:v>
                      </c:pt>
                      <c:pt idx="34">
                        <c:v>45403</c:v>
                      </c:pt>
                      <c:pt idx="35">
                        <c:v>45404</c:v>
                      </c:pt>
                      <c:pt idx="36">
                        <c:v>45405</c:v>
                      </c:pt>
                      <c:pt idx="37">
                        <c:v>45406</c:v>
                      </c:pt>
                      <c:pt idx="38">
                        <c:v>45407</c:v>
                      </c:pt>
                      <c:pt idx="39">
                        <c:v>45408</c:v>
                      </c:pt>
                      <c:pt idx="40">
                        <c:v>45409</c:v>
                      </c:pt>
                      <c:pt idx="41">
                        <c:v>45410</c:v>
                      </c:pt>
                      <c:pt idx="42">
                        <c:v>45411</c:v>
                      </c:pt>
                      <c:pt idx="43">
                        <c:v>45412</c:v>
                      </c:pt>
                      <c:pt idx="44">
                        <c:v>45413</c:v>
                      </c:pt>
                      <c:pt idx="45">
                        <c:v>45414</c:v>
                      </c:pt>
                      <c:pt idx="46">
                        <c:v>45415</c:v>
                      </c:pt>
                      <c:pt idx="47">
                        <c:v>45416</c:v>
                      </c:pt>
                      <c:pt idx="48">
                        <c:v>45417</c:v>
                      </c:pt>
                      <c:pt idx="49">
                        <c:v>45418</c:v>
                      </c:pt>
                      <c:pt idx="50">
                        <c:v>45419</c:v>
                      </c:pt>
                      <c:pt idx="51">
                        <c:v>45420</c:v>
                      </c:pt>
                      <c:pt idx="52">
                        <c:v>45421</c:v>
                      </c:pt>
                      <c:pt idx="53">
                        <c:v>45422</c:v>
                      </c:pt>
                      <c:pt idx="54">
                        <c:v>45423</c:v>
                      </c:pt>
                      <c:pt idx="55">
                        <c:v>45424</c:v>
                      </c:pt>
                      <c:pt idx="56">
                        <c:v>45425</c:v>
                      </c:pt>
                      <c:pt idx="57">
                        <c:v>45426</c:v>
                      </c:pt>
                      <c:pt idx="58">
                        <c:v>45427</c:v>
                      </c:pt>
                      <c:pt idx="59">
                        <c:v>45428</c:v>
                      </c:pt>
                      <c:pt idx="60">
                        <c:v>45429</c:v>
                      </c:pt>
                      <c:pt idx="61">
                        <c:v>45430</c:v>
                      </c:pt>
                      <c:pt idx="62">
                        <c:v>45431</c:v>
                      </c:pt>
                      <c:pt idx="63">
                        <c:v>45432</c:v>
                      </c:pt>
                      <c:pt idx="64">
                        <c:v>45433</c:v>
                      </c:pt>
                      <c:pt idx="65">
                        <c:v>45434</c:v>
                      </c:pt>
                      <c:pt idx="66">
                        <c:v>45435</c:v>
                      </c:pt>
                      <c:pt idx="67">
                        <c:v>45436</c:v>
                      </c:pt>
                      <c:pt idx="68">
                        <c:v>45437</c:v>
                      </c:pt>
                      <c:pt idx="69">
                        <c:v>45438</c:v>
                      </c:pt>
                      <c:pt idx="70">
                        <c:v>45439</c:v>
                      </c:pt>
                      <c:pt idx="71">
                        <c:v>45440</c:v>
                      </c:pt>
                      <c:pt idx="72">
                        <c:v>45441</c:v>
                      </c:pt>
                      <c:pt idx="73">
                        <c:v>45442</c:v>
                      </c:pt>
                      <c:pt idx="74">
                        <c:v>45443</c:v>
                      </c:pt>
                      <c:pt idx="75">
                        <c:v>45444</c:v>
                      </c:pt>
                      <c:pt idx="76">
                        <c:v>45445</c:v>
                      </c:pt>
                      <c:pt idx="77">
                        <c:v>45446</c:v>
                      </c:pt>
                      <c:pt idx="78">
                        <c:v>45447</c:v>
                      </c:pt>
                      <c:pt idx="79">
                        <c:v>45448</c:v>
                      </c:pt>
                      <c:pt idx="80">
                        <c:v>45449</c:v>
                      </c:pt>
                      <c:pt idx="81">
                        <c:v>45450</c:v>
                      </c:pt>
                      <c:pt idx="82">
                        <c:v>45451</c:v>
                      </c:pt>
                      <c:pt idx="83">
                        <c:v>45452</c:v>
                      </c:pt>
                      <c:pt idx="84">
                        <c:v>45453</c:v>
                      </c:pt>
                      <c:pt idx="85">
                        <c:v>45454</c:v>
                      </c:pt>
                      <c:pt idx="86">
                        <c:v>45455</c:v>
                      </c:pt>
                      <c:pt idx="87">
                        <c:v>45456</c:v>
                      </c:pt>
                      <c:pt idx="88">
                        <c:v>45457</c:v>
                      </c:pt>
                      <c:pt idx="89">
                        <c:v>45458</c:v>
                      </c:pt>
                      <c:pt idx="90">
                        <c:v>45459</c:v>
                      </c:pt>
                      <c:pt idx="91">
                        <c:v>45460</c:v>
                      </c:pt>
                      <c:pt idx="92">
                        <c:v>45461</c:v>
                      </c:pt>
                      <c:pt idx="93">
                        <c:v>45462</c:v>
                      </c:pt>
                      <c:pt idx="94">
                        <c:v>45463</c:v>
                      </c:pt>
                      <c:pt idx="95">
                        <c:v>45464</c:v>
                      </c:pt>
                      <c:pt idx="96">
                        <c:v>45465</c:v>
                      </c:pt>
                      <c:pt idx="97">
                        <c:v>45466</c:v>
                      </c:pt>
                      <c:pt idx="98">
                        <c:v>45467</c:v>
                      </c:pt>
                      <c:pt idx="99">
                        <c:v>45468</c:v>
                      </c:pt>
                      <c:pt idx="100">
                        <c:v>45469</c:v>
                      </c:pt>
                      <c:pt idx="101">
                        <c:v>45470</c:v>
                      </c:pt>
                      <c:pt idx="102">
                        <c:v>45471</c:v>
                      </c:pt>
                      <c:pt idx="103">
                        <c:v>45472</c:v>
                      </c:pt>
                      <c:pt idx="104">
                        <c:v>45473</c:v>
                      </c:pt>
                      <c:pt idx="105">
                        <c:v>45474</c:v>
                      </c:pt>
                      <c:pt idx="106">
                        <c:v>45475</c:v>
                      </c:pt>
                      <c:pt idx="107">
                        <c:v>45476</c:v>
                      </c:pt>
                      <c:pt idx="108">
                        <c:v>45477</c:v>
                      </c:pt>
                      <c:pt idx="109">
                        <c:v>45478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climáticos'!$C$2:$C$111</c15:sqref>
                        </c15:formulaRef>
                      </c:ext>
                    </c:extLst>
                    <c:numCache>
                      <c:formatCode>0.00</c:formatCode>
                      <c:ptCount val="110"/>
                      <c:pt idx="0">
                        <c:v>22.88</c:v>
                      </c:pt>
                      <c:pt idx="1">
                        <c:v>24.53</c:v>
                      </c:pt>
                      <c:pt idx="2">
                        <c:v>21.88</c:v>
                      </c:pt>
                      <c:pt idx="3">
                        <c:v>20.69</c:v>
                      </c:pt>
                      <c:pt idx="4">
                        <c:v>27.8</c:v>
                      </c:pt>
                      <c:pt idx="5">
                        <c:v>27.87</c:v>
                      </c:pt>
                      <c:pt idx="6">
                        <c:v>25.82</c:v>
                      </c:pt>
                      <c:pt idx="7">
                        <c:v>18.62</c:v>
                      </c:pt>
                      <c:pt idx="8">
                        <c:v>17.29</c:v>
                      </c:pt>
                      <c:pt idx="9">
                        <c:v>19.02</c:v>
                      </c:pt>
                      <c:pt idx="10">
                        <c:v>19.03</c:v>
                      </c:pt>
                      <c:pt idx="11">
                        <c:v>17.23</c:v>
                      </c:pt>
                      <c:pt idx="12">
                        <c:v>12.91</c:v>
                      </c:pt>
                      <c:pt idx="13">
                        <c:v>14.5</c:v>
                      </c:pt>
                      <c:pt idx="14">
                        <c:v>18.739999999999998</c:v>
                      </c:pt>
                      <c:pt idx="15">
                        <c:v>21.08</c:v>
                      </c:pt>
                      <c:pt idx="16">
                        <c:v>21.15</c:v>
                      </c:pt>
                      <c:pt idx="17">
                        <c:v>22.62</c:v>
                      </c:pt>
                      <c:pt idx="18">
                        <c:v>23.94</c:v>
                      </c:pt>
                      <c:pt idx="19">
                        <c:v>32.81</c:v>
                      </c:pt>
                      <c:pt idx="20">
                        <c:v>24.35</c:v>
                      </c:pt>
                      <c:pt idx="21">
                        <c:v>24.41</c:v>
                      </c:pt>
                      <c:pt idx="22">
                        <c:v>21.75</c:v>
                      </c:pt>
                      <c:pt idx="23">
                        <c:v>21.1</c:v>
                      </c:pt>
                      <c:pt idx="24">
                        <c:v>21.55</c:v>
                      </c:pt>
                      <c:pt idx="25">
                        <c:v>19.55</c:v>
                      </c:pt>
                      <c:pt idx="26">
                        <c:v>20.95</c:v>
                      </c:pt>
                      <c:pt idx="27">
                        <c:v>22.75</c:v>
                      </c:pt>
                      <c:pt idx="28">
                        <c:v>25.47</c:v>
                      </c:pt>
                      <c:pt idx="29">
                        <c:v>28.4</c:v>
                      </c:pt>
                      <c:pt idx="30">
                        <c:v>27.56</c:v>
                      </c:pt>
                      <c:pt idx="31">
                        <c:v>21.01</c:v>
                      </c:pt>
                      <c:pt idx="32">
                        <c:v>19.95</c:v>
                      </c:pt>
                      <c:pt idx="33">
                        <c:v>19.079999999999998</c:v>
                      </c:pt>
                      <c:pt idx="34">
                        <c:v>21.55</c:v>
                      </c:pt>
                      <c:pt idx="35">
                        <c:v>20.95</c:v>
                      </c:pt>
                      <c:pt idx="36">
                        <c:v>20.48</c:v>
                      </c:pt>
                      <c:pt idx="37">
                        <c:v>22.41</c:v>
                      </c:pt>
                      <c:pt idx="38">
                        <c:v>22.55</c:v>
                      </c:pt>
                      <c:pt idx="39">
                        <c:v>21.48</c:v>
                      </c:pt>
                      <c:pt idx="40">
                        <c:v>19.55</c:v>
                      </c:pt>
                      <c:pt idx="41">
                        <c:v>20.68</c:v>
                      </c:pt>
                      <c:pt idx="42">
                        <c:v>22.28</c:v>
                      </c:pt>
                      <c:pt idx="43">
                        <c:v>21.35</c:v>
                      </c:pt>
                      <c:pt idx="44">
                        <c:v>22.35</c:v>
                      </c:pt>
                      <c:pt idx="45">
                        <c:v>19.809999999999999</c:v>
                      </c:pt>
                      <c:pt idx="46">
                        <c:v>21.8</c:v>
                      </c:pt>
                      <c:pt idx="47">
                        <c:v>23.27</c:v>
                      </c:pt>
                      <c:pt idx="48">
                        <c:v>27.73</c:v>
                      </c:pt>
                      <c:pt idx="49">
                        <c:v>26.6</c:v>
                      </c:pt>
                      <c:pt idx="50">
                        <c:v>23.15</c:v>
                      </c:pt>
                      <c:pt idx="51">
                        <c:v>22.28</c:v>
                      </c:pt>
                      <c:pt idx="52">
                        <c:v>24.81</c:v>
                      </c:pt>
                      <c:pt idx="53">
                        <c:v>23.08</c:v>
                      </c:pt>
                      <c:pt idx="54">
                        <c:v>24</c:v>
                      </c:pt>
                      <c:pt idx="55">
                        <c:v>22.4</c:v>
                      </c:pt>
                      <c:pt idx="56">
                        <c:v>23.46</c:v>
                      </c:pt>
                      <c:pt idx="57">
                        <c:v>25.33</c:v>
                      </c:pt>
                      <c:pt idx="58">
                        <c:v>25.41</c:v>
                      </c:pt>
                      <c:pt idx="59">
                        <c:v>22.68</c:v>
                      </c:pt>
                      <c:pt idx="60">
                        <c:v>24.8</c:v>
                      </c:pt>
                      <c:pt idx="61">
                        <c:v>24.53</c:v>
                      </c:pt>
                      <c:pt idx="62">
                        <c:v>23.8</c:v>
                      </c:pt>
                      <c:pt idx="63">
                        <c:v>23.02</c:v>
                      </c:pt>
                      <c:pt idx="64">
                        <c:v>24.22</c:v>
                      </c:pt>
                      <c:pt idx="65">
                        <c:v>25.2</c:v>
                      </c:pt>
                      <c:pt idx="66">
                        <c:v>24.86</c:v>
                      </c:pt>
                      <c:pt idx="67">
                        <c:v>24</c:v>
                      </c:pt>
                      <c:pt idx="68">
                        <c:v>24.6</c:v>
                      </c:pt>
                      <c:pt idx="69">
                        <c:v>25.87</c:v>
                      </c:pt>
                      <c:pt idx="70">
                        <c:v>24.86</c:v>
                      </c:pt>
                      <c:pt idx="71">
                        <c:v>24.8</c:v>
                      </c:pt>
                      <c:pt idx="72">
                        <c:v>24.2</c:v>
                      </c:pt>
                      <c:pt idx="73">
                        <c:v>25.47</c:v>
                      </c:pt>
                      <c:pt idx="74">
                        <c:v>27.66</c:v>
                      </c:pt>
                      <c:pt idx="75">
                        <c:v>24.6</c:v>
                      </c:pt>
                      <c:pt idx="76">
                        <c:v>24.4</c:v>
                      </c:pt>
                      <c:pt idx="77">
                        <c:v>25.4</c:v>
                      </c:pt>
                      <c:pt idx="78">
                        <c:v>26.2</c:v>
                      </c:pt>
                      <c:pt idx="79">
                        <c:v>26.47</c:v>
                      </c:pt>
                      <c:pt idx="80">
                        <c:v>33.92</c:v>
                      </c:pt>
                      <c:pt idx="81">
                        <c:v>29.33</c:v>
                      </c:pt>
                      <c:pt idx="82">
                        <c:v>26.87</c:v>
                      </c:pt>
                      <c:pt idx="83">
                        <c:v>26.07</c:v>
                      </c:pt>
                      <c:pt idx="84">
                        <c:v>27.66</c:v>
                      </c:pt>
                      <c:pt idx="85">
                        <c:v>27.06</c:v>
                      </c:pt>
                      <c:pt idx="86">
                        <c:v>26.46</c:v>
                      </c:pt>
                      <c:pt idx="87">
                        <c:v>25.13</c:v>
                      </c:pt>
                      <c:pt idx="88">
                        <c:v>30.31</c:v>
                      </c:pt>
                      <c:pt idx="89">
                        <c:v>31.05</c:v>
                      </c:pt>
                      <c:pt idx="90">
                        <c:v>26.4</c:v>
                      </c:pt>
                      <c:pt idx="91">
                        <c:v>26.33</c:v>
                      </c:pt>
                      <c:pt idx="92">
                        <c:v>29.06</c:v>
                      </c:pt>
                      <c:pt idx="93">
                        <c:v>25.47</c:v>
                      </c:pt>
                      <c:pt idx="94">
                        <c:v>25.2</c:v>
                      </c:pt>
                      <c:pt idx="95">
                        <c:v>28.91</c:v>
                      </c:pt>
                      <c:pt idx="96">
                        <c:v>29.05</c:v>
                      </c:pt>
                      <c:pt idx="97">
                        <c:v>28.92</c:v>
                      </c:pt>
                      <c:pt idx="98">
                        <c:v>27.8</c:v>
                      </c:pt>
                      <c:pt idx="99">
                        <c:v>28.53</c:v>
                      </c:pt>
                      <c:pt idx="100">
                        <c:v>28.14</c:v>
                      </c:pt>
                      <c:pt idx="101">
                        <c:v>25.87</c:v>
                      </c:pt>
                      <c:pt idx="102">
                        <c:v>28.92</c:v>
                      </c:pt>
                      <c:pt idx="103">
                        <c:v>28.33</c:v>
                      </c:pt>
                      <c:pt idx="104">
                        <c:v>28.92</c:v>
                      </c:pt>
                      <c:pt idx="105">
                        <c:v>32.32</c:v>
                      </c:pt>
                      <c:pt idx="106">
                        <c:v>29.85</c:v>
                      </c:pt>
                      <c:pt idx="107">
                        <c:v>31.45</c:v>
                      </c:pt>
                      <c:pt idx="108">
                        <c:v>34.18</c:v>
                      </c:pt>
                      <c:pt idx="109">
                        <c:v>31.31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7F-4FB2-923E-D1FE40F7B61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climáticos'!$E$1</c15:sqref>
                        </c15:formulaRef>
                      </c:ext>
                    </c:extLst>
                    <c:strCache>
                      <c:ptCount val="1"/>
                      <c:pt idx="0">
                        <c:v>HR min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climáticos'!$A$2:$A$111</c15:sqref>
                        </c15:formulaRef>
                      </c:ext>
                    </c:extLst>
                    <c:numCache>
                      <c:formatCode>m/d/yyyy</c:formatCode>
                      <c:ptCount val="110"/>
                      <c:pt idx="0">
                        <c:v>45369</c:v>
                      </c:pt>
                      <c:pt idx="1">
                        <c:v>45370</c:v>
                      </c:pt>
                      <c:pt idx="2">
                        <c:v>45371</c:v>
                      </c:pt>
                      <c:pt idx="3">
                        <c:v>45372</c:v>
                      </c:pt>
                      <c:pt idx="4">
                        <c:v>45373</c:v>
                      </c:pt>
                      <c:pt idx="5">
                        <c:v>45374</c:v>
                      </c:pt>
                      <c:pt idx="6">
                        <c:v>45375</c:v>
                      </c:pt>
                      <c:pt idx="7">
                        <c:v>45376</c:v>
                      </c:pt>
                      <c:pt idx="8">
                        <c:v>45377</c:v>
                      </c:pt>
                      <c:pt idx="9">
                        <c:v>45378</c:v>
                      </c:pt>
                      <c:pt idx="10">
                        <c:v>45379</c:v>
                      </c:pt>
                      <c:pt idx="11">
                        <c:v>45380</c:v>
                      </c:pt>
                      <c:pt idx="12">
                        <c:v>45381</c:v>
                      </c:pt>
                      <c:pt idx="13">
                        <c:v>45382</c:v>
                      </c:pt>
                      <c:pt idx="14">
                        <c:v>45383</c:v>
                      </c:pt>
                      <c:pt idx="15">
                        <c:v>45384</c:v>
                      </c:pt>
                      <c:pt idx="16">
                        <c:v>45385</c:v>
                      </c:pt>
                      <c:pt idx="17">
                        <c:v>45386</c:v>
                      </c:pt>
                      <c:pt idx="18">
                        <c:v>45387</c:v>
                      </c:pt>
                      <c:pt idx="19">
                        <c:v>45388</c:v>
                      </c:pt>
                      <c:pt idx="20">
                        <c:v>45389</c:v>
                      </c:pt>
                      <c:pt idx="21">
                        <c:v>45390</c:v>
                      </c:pt>
                      <c:pt idx="22">
                        <c:v>45391</c:v>
                      </c:pt>
                      <c:pt idx="23">
                        <c:v>45392</c:v>
                      </c:pt>
                      <c:pt idx="24">
                        <c:v>45393</c:v>
                      </c:pt>
                      <c:pt idx="25">
                        <c:v>45394</c:v>
                      </c:pt>
                      <c:pt idx="26">
                        <c:v>45395</c:v>
                      </c:pt>
                      <c:pt idx="27">
                        <c:v>45396</c:v>
                      </c:pt>
                      <c:pt idx="28">
                        <c:v>45397</c:v>
                      </c:pt>
                      <c:pt idx="29">
                        <c:v>45398</c:v>
                      </c:pt>
                      <c:pt idx="30">
                        <c:v>45399</c:v>
                      </c:pt>
                      <c:pt idx="31">
                        <c:v>45400</c:v>
                      </c:pt>
                      <c:pt idx="32">
                        <c:v>45401</c:v>
                      </c:pt>
                      <c:pt idx="33">
                        <c:v>45402</c:v>
                      </c:pt>
                      <c:pt idx="34">
                        <c:v>45403</c:v>
                      </c:pt>
                      <c:pt idx="35">
                        <c:v>45404</c:v>
                      </c:pt>
                      <c:pt idx="36">
                        <c:v>45405</c:v>
                      </c:pt>
                      <c:pt idx="37">
                        <c:v>45406</c:v>
                      </c:pt>
                      <c:pt idx="38">
                        <c:v>45407</c:v>
                      </c:pt>
                      <c:pt idx="39">
                        <c:v>45408</c:v>
                      </c:pt>
                      <c:pt idx="40">
                        <c:v>45409</c:v>
                      </c:pt>
                      <c:pt idx="41">
                        <c:v>45410</c:v>
                      </c:pt>
                      <c:pt idx="42">
                        <c:v>45411</c:v>
                      </c:pt>
                      <c:pt idx="43">
                        <c:v>45412</c:v>
                      </c:pt>
                      <c:pt idx="44">
                        <c:v>45413</c:v>
                      </c:pt>
                      <c:pt idx="45">
                        <c:v>45414</c:v>
                      </c:pt>
                      <c:pt idx="46">
                        <c:v>45415</c:v>
                      </c:pt>
                      <c:pt idx="47">
                        <c:v>45416</c:v>
                      </c:pt>
                      <c:pt idx="48">
                        <c:v>45417</c:v>
                      </c:pt>
                      <c:pt idx="49">
                        <c:v>45418</c:v>
                      </c:pt>
                      <c:pt idx="50">
                        <c:v>45419</c:v>
                      </c:pt>
                      <c:pt idx="51">
                        <c:v>45420</c:v>
                      </c:pt>
                      <c:pt idx="52">
                        <c:v>45421</c:v>
                      </c:pt>
                      <c:pt idx="53">
                        <c:v>45422</c:v>
                      </c:pt>
                      <c:pt idx="54">
                        <c:v>45423</c:v>
                      </c:pt>
                      <c:pt idx="55">
                        <c:v>45424</c:v>
                      </c:pt>
                      <c:pt idx="56">
                        <c:v>45425</c:v>
                      </c:pt>
                      <c:pt idx="57">
                        <c:v>45426</c:v>
                      </c:pt>
                      <c:pt idx="58">
                        <c:v>45427</c:v>
                      </c:pt>
                      <c:pt idx="59">
                        <c:v>45428</c:v>
                      </c:pt>
                      <c:pt idx="60">
                        <c:v>45429</c:v>
                      </c:pt>
                      <c:pt idx="61">
                        <c:v>45430</c:v>
                      </c:pt>
                      <c:pt idx="62">
                        <c:v>45431</c:v>
                      </c:pt>
                      <c:pt idx="63">
                        <c:v>45432</c:v>
                      </c:pt>
                      <c:pt idx="64">
                        <c:v>45433</c:v>
                      </c:pt>
                      <c:pt idx="65">
                        <c:v>45434</c:v>
                      </c:pt>
                      <c:pt idx="66">
                        <c:v>45435</c:v>
                      </c:pt>
                      <c:pt idx="67">
                        <c:v>45436</c:v>
                      </c:pt>
                      <c:pt idx="68">
                        <c:v>45437</c:v>
                      </c:pt>
                      <c:pt idx="69">
                        <c:v>45438</c:v>
                      </c:pt>
                      <c:pt idx="70">
                        <c:v>45439</c:v>
                      </c:pt>
                      <c:pt idx="71">
                        <c:v>45440</c:v>
                      </c:pt>
                      <c:pt idx="72">
                        <c:v>45441</c:v>
                      </c:pt>
                      <c:pt idx="73">
                        <c:v>45442</c:v>
                      </c:pt>
                      <c:pt idx="74">
                        <c:v>45443</c:v>
                      </c:pt>
                      <c:pt idx="75">
                        <c:v>45444</c:v>
                      </c:pt>
                      <c:pt idx="76">
                        <c:v>45445</c:v>
                      </c:pt>
                      <c:pt idx="77">
                        <c:v>45446</c:v>
                      </c:pt>
                      <c:pt idx="78">
                        <c:v>45447</c:v>
                      </c:pt>
                      <c:pt idx="79">
                        <c:v>45448</c:v>
                      </c:pt>
                      <c:pt idx="80">
                        <c:v>45449</c:v>
                      </c:pt>
                      <c:pt idx="81">
                        <c:v>45450</c:v>
                      </c:pt>
                      <c:pt idx="82">
                        <c:v>45451</c:v>
                      </c:pt>
                      <c:pt idx="83">
                        <c:v>45452</c:v>
                      </c:pt>
                      <c:pt idx="84">
                        <c:v>45453</c:v>
                      </c:pt>
                      <c:pt idx="85">
                        <c:v>45454</c:v>
                      </c:pt>
                      <c:pt idx="86">
                        <c:v>45455</c:v>
                      </c:pt>
                      <c:pt idx="87">
                        <c:v>45456</c:v>
                      </c:pt>
                      <c:pt idx="88">
                        <c:v>45457</c:v>
                      </c:pt>
                      <c:pt idx="89">
                        <c:v>45458</c:v>
                      </c:pt>
                      <c:pt idx="90">
                        <c:v>45459</c:v>
                      </c:pt>
                      <c:pt idx="91">
                        <c:v>45460</c:v>
                      </c:pt>
                      <c:pt idx="92">
                        <c:v>45461</c:v>
                      </c:pt>
                      <c:pt idx="93">
                        <c:v>45462</c:v>
                      </c:pt>
                      <c:pt idx="94">
                        <c:v>45463</c:v>
                      </c:pt>
                      <c:pt idx="95">
                        <c:v>45464</c:v>
                      </c:pt>
                      <c:pt idx="96">
                        <c:v>45465</c:v>
                      </c:pt>
                      <c:pt idx="97">
                        <c:v>45466</c:v>
                      </c:pt>
                      <c:pt idx="98">
                        <c:v>45467</c:v>
                      </c:pt>
                      <c:pt idx="99">
                        <c:v>45468</c:v>
                      </c:pt>
                      <c:pt idx="100">
                        <c:v>45469</c:v>
                      </c:pt>
                      <c:pt idx="101">
                        <c:v>45470</c:v>
                      </c:pt>
                      <c:pt idx="102">
                        <c:v>45471</c:v>
                      </c:pt>
                      <c:pt idx="103">
                        <c:v>45472</c:v>
                      </c:pt>
                      <c:pt idx="104">
                        <c:v>45473</c:v>
                      </c:pt>
                      <c:pt idx="105">
                        <c:v>45474</c:v>
                      </c:pt>
                      <c:pt idx="106">
                        <c:v>45475</c:v>
                      </c:pt>
                      <c:pt idx="107">
                        <c:v>45476</c:v>
                      </c:pt>
                      <c:pt idx="108">
                        <c:v>45477</c:v>
                      </c:pt>
                      <c:pt idx="109">
                        <c:v>45478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climáticos'!$E$2:$E$111</c15:sqref>
                        </c15:formulaRef>
                      </c:ext>
                    </c:extLst>
                    <c:numCache>
                      <c:formatCode>0.00</c:formatCode>
                      <c:ptCount val="110"/>
                      <c:pt idx="0">
                        <c:v>37.72</c:v>
                      </c:pt>
                      <c:pt idx="1">
                        <c:v>29.3</c:v>
                      </c:pt>
                      <c:pt idx="2">
                        <c:v>42.59</c:v>
                      </c:pt>
                      <c:pt idx="3">
                        <c:v>51.47</c:v>
                      </c:pt>
                      <c:pt idx="4">
                        <c:v>27.69</c:v>
                      </c:pt>
                      <c:pt idx="5">
                        <c:v>25.49</c:v>
                      </c:pt>
                      <c:pt idx="6">
                        <c:v>31.91</c:v>
                      </c:pt>
                      <c:pt idx="7">
                        <c:v>64.63</c:v>
                      </c:pt>
                      <c:pt idx="8">
                        <c:v>29.17</c:v>
                      </c:pt>
                      <c:pt idx="9">
                        <c:v>36.46</c:v>
                      </c:pt>
                      <c:pt idx="10">
                        <c:v>58.03</c:v>
                      </c:pt>
                      <c:pt idx="11">
                        <c:v>61.3</c:v>
                      </c:pt>
                      <c:pt idx="12">
                        <c:v>68.94</c:v>
                      </c:pt>
                      <c:pt idx="13">
                        <c:v>57.25</c:v>
                      </c:pt>
                      <c:pt idx="14">
                        <c:v>48.8</c:v>
                      </c:pt>
                      <c:pt idx="15">
                        <c:v>36.85</c:v>
                      </c:pt>
                      <c:pt idx="16">
                        <c:v>46.93</c:v>
                      </c:pt>
                      <c:pt idx="17">
                        <c:v>44.59</c:v>
                      </c:pt>
                      <c:pt idx="18">
                        <c:v>35.65</c:v>
                      </c:pt>
                      <c:pt idx="19">
                        <c:v>22.02</c:v>
                      </c:pt>
                      <c:pt idx="20">
                        <c:v>51.6</c:v>
                      </c:pt>
                      <c:pt idx="21">
                        <c:v>35.58</c:v>
                      </c:pt>
                      <c:pt idx="22">
                        <c:v>25.3</c:v>
                      </c:pt>
                      <c:pt idx="23">
                        <c:v>16.760000000000002</c:v>
                      </c:pt>
                      <c:pt idx="24">
                        <c:v>30.11</c:v>
                      </c:pt>
                      <c:pt idx="25">
                        <c:v>45.01</c:v>
                      </c:pt>
                      <c:pt idx="26">
                        <c:v>41.99</c:v>
                      </c:pt>
                      <c:pt idx="27">
                        <c:v>33.11</c:v>
                      </c:pt>
                      <c:pt idx="28">
                        <c:v>27.43</c:v>
                      </c:pt>
                      <c:pt idx="29">
                        <c:v>28.44</c:v>
                      </c:pt>
                      <c:pt idx="30">
                        <c:v>29.04</c:v>
                      </c:pt>
                      <c:pt idx="31">
                        <c:v>67.69</c:v>
                      </c:pt>
                      <c:pt idx="32">
                        <c:v>43.21</c:v>
                      </c:pt>
                      <c:pt idx="33">
                        <c:v>58.01</c:v>
                      </c:pt>
                      <c:pt idx="34">
                        <c:v>38.520000000000003</c:v>
                      </c:pt>
                      <c:pt idx="35">
                        <c:v>45.01</c:v>
                      </c:pt>
                      <c:pt idx="36">
                        <c:v>50</c:v>
                      </c:pt>
                      <c:pt idx="37">
                        <c:v>35.380000000000003</c:v>
                      </c:pt>
                      <c:pt idx="38">
                        <c:v>38.880000000000003</c:v>
                      </c:pt>
                      <c:pt idx="39">
                        <c:v>40.869999999999997</c:v>
                      </c:pt>
                      <c:pt idx="40">
                        <c:v>54.41</c:v>
                      </c:pt>
                      <c:pt idx="41">
                        <c:v>35.71</c:v>
                      </c:pt>
                      <c:pt idx="42">
                        <c:v>32.979999999999997</c:v>
                      </c:pt>
                      <c:pt idx="43">
                        <c:v>40.99</c:v>
                      </c:pt>
                      <c:pt idx="44">
                        <c:v>22.5</c:v>
                      </c:pt>
                      <c:pt idx="45">
                        <c:v>31.53</c:v>
                      </c:pt>
                      <c:pt idx="46">
                        <c:v>29.79</c:v>
                      </c:pt>
                      <c:pt idx="47">
                        <c:v>31.77</c:v>
                      </c:pt>
                      <c:pt idx="48">
                        <c:v>25.96</c:v>
                      </c:pt>
                      <c:pt idx="49">
                        <c:v>32.78</c:v>
                      </c:pt>
                      <c:pt idx="50">
                        <c:v>36.65</c:v>
                      </c:pt>
                      <c:pt idx="51">
                        <c:v>39.119999999999997</c:v>
                      </c:pt>
                      <c:pt idx="52">
                        <c:v>26.3</c:v>
                      </c:pt>
                      <c:pt idx="53">
                        <c:v>36.57</c:v>
                      </c:pt>
                      <c:pt idx="54">
                        <c:v>32.119999999999997</c:v>
                      </c:pt>
                      <c:pt idx="55">
                        <c:v>51.6</c:v>
                      </c:pt>
                      <c:pt idx="56">
                        <c:v>50.58</c:v>
                      </c:pt>
                      <c:pt idx="57">
                        <c:v>28.77</c:v>
                      </c:pt>
                      <c:pt idx="58">
                        <c:v>20.36</c:v>
                      </c:pt>
                      <c:pt idx="59">
                        <c:v>34.119999999999997</c:v>
                      </c:pt>
                      <c:pt idx="60">
                        <c:v>43.34</c:v>
                      </c:pt>
                      <c:pt idx="61">
                        <c:v>39.17</c:v>
                      </c:pt>
                      <c:pt idx="62">
                        <c:v>36.9</c:v>
                      </c:pt>
                      <c:pt idx="63">
                        <c:v>35.72</c:v>
                      </c:pt>
                      <c:pt idx="64">
                        <c:v>32.79</c:v>
                      </c:pt>
                      <c:pt idx="65">
                        <c:v>33.369999999999997</c:v>
                      </c:pt>
                      <c:pt idx="66">
                        <c:v>28.23</c:v>
                      </c:pt>
                      <c:pt idx="67">
                        <c:v>36.72</c:v>
                      </c:pt>
                      <c:pt idx="68">
                        <c:v>51.18</c:v>
                      </c:pt>
                      <c:pt idx="69">
                        <c:v>49.25</c:v>
                      </c:pt>
                      <c:pt idx="70">
                        <c:v>56.72</c:v>
                      </c:pt>
                      <c:pt idx="71">
                        <c:v>59.26</c:v>
                      </c:pt>
                      <c:pt idx="72">
                        <c:v>62.4</c:v>
                      </c:pt>
                      <c:pt idx="73">
                        <c:v>54.87</c:v>
                      </c:pt>
                      <c:pt idx="74">
                        <c:v>42.84</c:v>
                      </c:pt>
                      <c:pt idx="75">
                        <c:v>55.59</c:v>
                      </c:pt>
                      <c:pt idx="76">
                        <c:v>43.84</c:v>
                      </c:pt>
                      <c:pt idx="77">
                        <c:v>37.64</c:v>
                      </c:pt>
                      <c:pt idx="78">
                        <c:v>33.03</c:v>
                      </c:pt>
                      <c:pt idx="79">
                        <c:v>47.73</c:v>
                      </c:pt>
                      <c:pt idx="80">
                        <c:v>24.62</c:v>
                      </c:pt>
                      <c:pt idx="81">
                        <c:v>40.1</c:v>
                      </c:pt>
                      <c:pt idx="82">
                        <c:v>40.840000000000003</c:v>
                      </c:pt>
                      <c:pt idx="83">
                        <c:v>46.11</c:v>
                      </c:pt>
                      <c:pt idx="84">
                        <c:v>43.64</c:v>
                      </c:pt>
                      <c:pt idx="85">
                        <c:v>45.11</c:v>
                      </c:pt>
                      <c:pt idx="86">
                        <c:v>47.64</c:v>
                      </c:pt>
                      <c:pt idx="87">
                        <c:v>61.61</c:v>
                      </c:pt>
                      <c:pt idx="88">
                        <c:v>30.49</c:v>
                      </c:pt>
                      <c:pt idx="89">
                        <c:v>38.43</c:v>
                      </c:pt>
                      <c:pt idx="90">
                        <c:v>46.91</c:v>
                      </c:pt>
                      <c:pt idx="91">
                        <c:v>51.2</c:v>
                      </c:pt>
                      <c:pt idx="92">
                        <c:v>37.1</c:v>
                      </c:pt>
                      <c:pt idx="93">
                        <c:v>34.57</c:v>
                      </c:pt>
                      <c:pt idx="94">
                        <c:v>32.909999999999997</c:v>
                      </c:pt>
                      <c:pt idx="95">
                        <c:v>30.22</c:v>
                      </c:pt>
                      <c:pt idx="96">
                        <c:v>27.69</c:v>
                      </c:pt>
                      <c:pt idx="97">
                        <c:v>27.09</c:v>
                      </c:pt>
                      <c:pt idx="98">
                        <c:v>36.44</c:v>
                      </c:pt>
                      <c:pt idx="99">
                        <c:v>38.17</c:v>
                      </c:pt>
                      <c:pt idx="100">
                        <c:v>35.299999999999997</c:v>
                      </c:pt>
                      <c:pt idx="101">
                        <c:v>45.85</c:v>
                      </c:pt>
                      <c:pt idx="102">
                        <c:v>33.96</c:v>
                      </c:pt>
                      <c:pt idx="103">
                        <c:v>44.11</c:v>
                      </c:pt>
                      <c:pt idx="104">
                        <c:v>40.229999999999997</c:v>
                      </c:pt>
                      <c:pt idx="105">
                        <c:v>32.619999999999997</c:v>
                      </c:pt>
                      <c:pt idx="106">
                        <c:v>41.43</c:v>
                      </c:pt>
                      <c:pt idx="107">
                        <c:v>34.090000000000003</c:v>
                      </c:pt>
                      <c:pt idx="108">
                        <c:v>21.08</c:v>
                      </c:pt>
                      <c:pt idx="109">
                        <c:v>33.76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7F-4FB2-923E-D1FE40F7B61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climáticos'!$F$1</c15:sqref>
                        </c15:formulaRef>
                      </c:ext>
                    </c:extLst>
                    <c:strCache>
                      <c:ptCount val="1"/>
                      <c:pt idx="0">
                        <c:v>HR max (%)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climáticos'!$A$2:$A$111</c15:sqref>
                        </c15:formulaRef>
                      </c:ext>
                    </c:extLst>
                    <c:numCache>
                      <c:formatCode>m/d/yyyy</c:formatCode>
                      <c:ptCount val="110"/>
                      <c:pt idx="0">
                        <c:v>45369</c:v>
                      </c:pt>
                      <c:pt idx="1">
                        <c:v>45370</c:v>
                      </c:pt>
                      <c:pt idx="2">
                        <c:v>45371</c:v>
                      </c:pt>
                      <c:pt idx="3">
                        <c:v>45372</c:v>
                      </c:pt>
                      <c:pt idx="4">
                        <c:v>45373</c:v>
                      </c:pt>
                      <c:pt idx="5">
                        <c:v>45374</c:v>
                      </c:pt>
                      <c:pt idx="6">
                        <c:v>45375</c:v>
                      </c:pt>
                      <c:pt idx="7">
                        <c:v>45376</c:v>
                      </c:pt>
                      <c:pt idx="8">
                        <c:v>45377</c:v>
                      </c:pt>
                      <c:pt idx="9">
                        <c:v>45378</c:v>
                      </c:pt>
                      <c:pt idx="10">
                        <c:v>45379</c:v>
                      </c:pt>
                      <c:pt idx="11">
                        <c:v>45380</c:v>
                      </c:pt>
                      <c:pt idx="12">
                        <c:v>45381</c:v>
                      </c:pt>
                      <c:pt idx="13">
                        <c:v>45382</c:v>
                      </c:pt>
                      <c:pt idx="14">
                        <c:v>45383</c:v>
                      </c:pt>
                      <c:pt idx="15">
                        <c:v>45384</c:v>
                      </c:pt>
                      <c:pt idx="16">
                        <c:v>45385</c:v>
                      </c:pt>
                      <c:pt idx="17">
                        <c:v>45386</c:v>
                      </c:pt>
                      <c:pt idx="18">
                        <c:v>45387</c:v>
                      </c:pt>
                      <c:pt idx="19">
                        <c:v>45388</c:v>
                      </c:pt>
                      <c:pt idx="20">
                        <c:v>45389</c:v>
                      </c:pt>
                      <c:pt idx="21">
                        <c:v>45390</c:v>
                      </c:pt>
                      <c:pt idx="22">
                        <c:v>45391</c:v>
                      </c:pt>
                      <c:pt idx="23">
                        <c:v>45392</c:v>
                      </c:pt>
                      <c:pt idx="24">
                        <c:v>45393</c:v>
                      </c:pt>
                      <c:pt idx="25">
                        <c:v>45394</c:v>
                      </c:pt>
                      <c:pt idx="26">
                        <c:v>45395</c:v>
                      </c:pt>
                      <c:pt idx="27">
                        <c:v>45396</c:v>
                      </c:pt>
                      <c:pt idx="28">
                        <c:v>45397</c:v>
                      </c:pt>
                      <c:pt idx="29">
                        <c:v>45398</c:v>
                      </c:pt>
                      <c:pt idx="30">
                        <c:v>45399</c:v>
                      </c:pt>
                      <c:pt idx="31">
                        <c:v>45400</c:v>
                      </c:pt>
                      <c:pt idx="32">
                        <c:v>45401</c:v>
                      </c:pt>
                      <c:pt idx="33">
                        <c:v>45402</c:v>
                      </c:pt>
                      <c:pt idx="34">
                        <c:v>45403</c:v>
                      </c:pt>
                      <c:pt idx="35">
                        <c:v>45404</c:v>
                      </c:pt>
                      <c:pt idx="36">
                        <c:v>45405</c:v>
                      </c:pt>
                      <c:pt idx="37">
                        <c:v>45406</c:v>
                      </c:pt>
                      <c:pt idx="38">
                        <c:v>45407</c:v>
                      </c:pt>
                      <c:pt idx="39">
                        <c:v>45408</c:v>
                      </c:pt>
                      <c:pt idx="40">
                        <c:v>45409</c:v>
                      </c:pt>
                      <c:pt idx="41">
                        <c:v>45410</c:v>
                      </c:pt>
                      <c:pt idx="42">
                        <c:v>45411</c:v>
                      </c:pt>
                      <c:pt idx="43">
                        <c:v>45412</c:v>
                      </c:pt>
                      <c:pt idx="44">
                        <c:v>45413</c:v>
                      </c:pt>
                      <c:pt idx="45">
                        <c:v>45414</c:v>
                      </c:pt>
                      <c:pt idx="46">
                        <c:v>45415</c:v>
                      </c:pt>
                      <c:pt idx="47">
                        <c:v>45416</c:v>
                      </c:pt>
                      <c:pt idx="48">
                        <c:v>45417</c:v>
                      </c:pt>
                      <c:pt idx="49">
                        <c:v>45418</c:v>
                      </c:pt>
                      <c:pt idx="50">
                        <c:v>45419</c:v>
                      </c:pt>
                      <c:pt idx="51">
                        <c:v>45420</c:v>
                      </c:pt>
                      <c:pt idx="52">
                        <c:v>45421</c:v>
                      </c:pt>
                      <c:pt idx="53">
                        <c:v>45422</c:v>
                      </c:pt>
                      <c:pt idx="54">
                        <c:v>45423</c:v>
                      </c:pt>
                      <c:pt idx="55">
                        <c:v>45424</c:v>
                      </c:pt>
                      <c:pt idx="56">
                        <c:v>45425</c:v>
                      </c:pt>
                      <c:pt idx="57">
                        <c:v>45426</c:v>
                      </c:pt>
                      <c:pt idx="58">
                        <c:v>45427</c:v>
                      </c:pt>
                      <c:pt idx="59">
                        <c:v>45428</c:v>
                      </c:pt>
                      <c:pt idx="60">
                        <c:v>45429</c:v>
                      </c:pt>
                      <c:pt idx="61">
                        <c:v>45430</c:v>
                      </c:pt>
                      <c:pt idx="62">
                        <c:v>45431</c:v>
                      </c:pt>
                      <c:pt idx="63">
                        <c:v>45432</c:v>
                      </c:pt>
                      <c:pt idx="64">
                        <c:v>45433</c:v>
                      </c:pt>
                      <c:pt idx="65">
                        <c:v>45434</c:v>
                      </c:pt>
                      <c:pt idx="66">
                        <c:v>45435</c:v>
                      </c:pt>
                      <c:pt idx="67">
                        <c:v>45436</c:v>
                      </c:pt>
                      <c:pt idx="68">
                        <c:v>45437</c:v>
                      </c:pt>
                      <c:pt idx="69">
                        <c:v>45438</c:v>
                      </c:pt>
                      <c:pt idx="70">
                        <c:v>45439</c:v>
                      </c:pt>
                      <c:pt idx="71">
                        <c:v>45440</c:v>
                      </c:pt>
                      <c:pt idx="72">
                        <c:v>45441</c:v>
                      </c:pt>
                      <c:pt idx="73">
                        <c:v>45442</c:v>
                      </c:pt>
                      <c:pt idx="74">
                        <c:v>45443</c:v>
                      </c:pt>
                      <c:pt idx="75">
                        <c:v>45444</c:v>
                      </c:pt>
                      <c:pt idx="76">
                        <c:v>45445</c:v>
                      </c:pt>
                      <c:pt idx="77">
                        <c:v>45446</c:v>
                      </c:pt>
                      <c:pt idx="78">
                        <c:v>45447</c:v>
                      </c:pt>
                      <c:pt idx="79">
                        <c:v>45448</c:v>
                      </c:pt>
                      <c:pt idx="80">
                        <c:v>45449</c:v>
                      </c:pt>
                      <c:pt idx="81">
                        <c:v>45450</c:v>
                      </c:pt>
                      <c:pt idx="82">
                        <c:v>45451</c:v>
                      </c:pt>
                      <c:pt idx="83">
                        <c:v>45452</c:v>
                      </c:pt>
                      <c:pt idx="84">
                        <c:v>45453</c:v>
                      </c:pt>
                      <c:pt idx="85">
                        <c:v>45454</c:v>
                      </c:pt>
                      <c:pt idx="86">
                        <c:v>45455</c:v>
                      </c:pt>
                      <c:pt idx="87">
                        <c:v>45456</c:v>
                      </c:pt>
                      <c:pt idx="88">
                        <c:v>45457</c:v>
                      </c:pt>
                      <c:pt idx="89">
                        <c:v>45458</c:v>
                      </c:pt>
                      <c:pt idx="90">
                        <c:v>45459</c:v>
                      </c:pt>
                      <c:pt idx="91">
                        <c:v>45460</c:v>
                      </c:pt>
                      <c:pt idx="92">
                        <c:v>45461</c:v>
                      </c:pt>
                      <c:pt idx="93">
                        <c:v>45462</c:v>
                      </c:pt>
                      <c:pt idx="94">
                        <c:v>45463</c:v>
                      </c:pt>
                      <c:pt idx="95">
                        <c:v>45464</c:v>
                      </c:pt>
                      <c:pt idx="96">
                        <c:v>45465</c:v>
                      </c:pt>
                      <c:pt idx="97">
                        <c:v>45466</c:v>
                      </c:pt>
                      <c:pt idx="98">
                        <c:v>45467</c:v>
                      </c:pt>
                      <c:pt idx="99">
                        <c:v>45468</c:v>
                      </c:pt>
                      <c:pt idx="100">
                        <c:v>45469</c:v>
                      </c:pt>
                      <c:pt idx="101">
                        <c:v>45470</c:v>
                      </c:pt>
                      <c:pt idx="102">
                        <c:v>45471</c:v>
                      </c:pt>
                      <c:pt idx="103">
                        <c:v>45472</c:v>
                      </c:pt>
                      <c:pt idx="104">
                        <c:v>45473</c:v>
                      </c:pt>
                      <c:pt idx="105">
                        <c:v>45474</c:v>
                      </c:pt>
                      <c:pt idx="106">
                        <c:v>45475</c:v>
                      </c:pt>
                      <c:pt idx="107">
                        <c:v>45476</c:v>
                      </c:pt>
                      <c:pt idx="108">
                        <c:v>45477</c:v>
                      </c:pt>
                      <c:pt idx="109">
                        <c:v>45478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climáticos'!$F$2:$F$111</c15:sqref>
                        </c15:formulaRef>
                      </c:ext>
                    </c:extLst>
                    <c:numCache>
                      <c:formatCode>0.00</c:formatCode>
                      <c:ptCount val="110"/>
                      <c:pt idx="0">
                        <c:v>95.7</c:v>
                      </c:pt>
                      <c:pt idx="1">
                        <c:v>98.3</c:v>
                      </c:pt>
                      <c:pt idx="2">
                        <c:v>95.2</c:v>
                      </c:pt>
                      <c:pt idx="3">
                        <c:v>100</c:v>
                      </c:pt>
                      <c:pt idx="4">
                        <c:v>94.2</c:v>
                      </c:pt>
                      <c:pt idx="5">
                        <c:v>91.6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95.7</c:v>
                      </c:pt>
                      <c:pt idx="10">
                        <c:v>96.6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  <c:pt idx="22">
                        <c:v>84.6</c:v>
                      </c:pt>
                      <c:pt idx="23">
                        <c:v>100</c:v>
                      </c:pt>
                      <c:pt idx="24">
                        <c:v>94.1</c:v>
                      </c:pt>
                      <c:pt idx="25">
                        <c:v>100</c:v>
                      </c:pt>
                      <c:pt idx="26">
                        <c:v>100</c:v>
                      </c:pt>
                      <c:pt idx="27">
                        <c:v>100</c:v>
                      </c:pt>
                      <c:pt idx="28">
                        <c:v>98.6</c:v>
                      </c:pt>
                      <c:pt idx="29">
                        <c:v>96.1</c:v>
                      </c:pt>
                      <c:pt idx="30">
                        <c:v>100</c:v>
                      </c:pt>
                      <c:pt idx="31">
                        <c:v>100</c:v>
                      </c:pt>
                      <c:pt idx="32">
                        <c:v>97.5</c:v>
                      </c:pt>
                      <c:pt idx="33">
                        <c:v>97.6</c:v>
                      </c:pt>
                      <c:pt idx="34">
                        <c:v>98.7</c:v>
                      </c:pt>
                      <c:pt idx="35">
                        <c:v>100</c:v>
                      </c:pt>
                      <c:pt idx="36">
                        <c:v>100</c:v>
                      </c:pt>
                      <c:pt idx="37">
                        <c:v>100</c:v>
                      </c:pt>
                      <c:pt idx="38">
                        <c:v>98.7</c:v>
                      </c:pt>
                      <c:pt idx="39">
                        <c:v>91.5</c:v>
                      </c:pt>
                      <c:pt idx="40">
                        <c:v>95.3</c:v>
                      </c:pt>
                      <c:pt idx="41">
                        <c:v>97.9</c:v>
                      </c:pt>
                      <c:pt idx="42">
                        <c:v>94.8</c:v>
                      </c:pt>
                      <c:pt idx="43">
                        <c:v>90.6</c:v>
                      </c:pt>
                      <c:pt idx="44">
                        <c:v>99.8</c:v>
                      </c:pt>
                      <c:pt idx="45">
                        <c:v>94.1</c:v>
                      </c:pt>
                      <c:pt idx="46">
                        <c:v>90.6</c:v>
                      </c:pt>
                      <c:pt idx="47">
                        <c:v>96.9</c:v>
                      </c:pt>
                      <c:pt idx="48">
                        <c:v>100</c:v>
                      </c:pt>
                      <c:pt idx="49">
                        <c:v>100</c:v>
                      </c:pt>
                      <c:pt idx="50">
                        <c:v>100</c:v>
                      </c:pt>
                      <c:pt idx="51">
                        <c:v>100</c:v>
                      </c:pt>
                      <c:pt idx="52">
                        <c:v>96.6</c:v>
                      </c:pt>
                      <c:pt idx="53">
                        <c:v>94.5</c:v>
                      </c:pt>
                      <c:pt idx="54">
                        <c:v>100</c:v>
                      </c:pt>
                      <c:pt idx="55">
                        <c:v>100</c:v>
                      </c:pt>
                      <c:pt idx="56">
                        <c:v>100</c:v>
                      </c:pt>
                      <c:pt idx="57">
                        <c:v>100</c:v>
                      </c:pt>
                      <c:pt idx="58">
                        <c:v>42.2</c:v>
                      </c:pt>
                      <c:pt idx="59">
                        <c:v>63.9</c:v>
                      </c:pt>
                      <c:pt idx="60">
                        <c:v>96.8</c:v>
                      </c:pt>
                      <c:pt idx="61">
                        <c:v>100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100</c:v>
                      </c:pt>
                      <c:pt idx="65">
                        <c:v>96</c:v>
                      </c:pt>
                      <c:pt idx="66">
                        <c:v>94.8</c:v>
                      </c:pt>
                      <c:pt idx="67">
                        <c:v>99.3</c:v>
                      </c:pt>
                      <c:pt idx="68">
                        <c:v>100</c:v>
                      </c:pt>
                      <c:pt idx="69">
                        <c:v>100</c:v>
                      </c:pt>
                      <c:pt idx="70">
                        <c:v>100</c:v>
                      </c:pt>
                      <c:pt idx="71">
                        <c:v>100</c:v>
                      </c:pt>
                      <c:pt idx="72">
                        <c:v>100</c:v>
                      </c:pt>
                      <c:pt idx="73">
                        <c:v>100</c:v>
                      </c:pt>
                      <c:pt idx="74">
                        <c:v>100</c:v>
                      </c:pt>
                      <c:pt idx="75">
                        <c:v>100</c:v>
                      </c:pt>
                      <c:pt idx="76">
                        <c:v>100</c:v>
                      </c:pt>
                      <c:pt idx="77">
                        <c:v>100</c:v>
                      </c:pt>
                      <c:pt idx="78">
                        <c:v>92.1</c:v>
                      </c:pt>
                      <c:pt idx="79">
                        <c:v>97.3</c:v>
                      </c:pt>
                      <c:pt idx="80">
                        <c:v>93.2</c:v>
                      </c:pt>
                      <c:pt idx="81">
                        <c:v>100</c:v>
                      </c:pt>
                      <c:pt idx="82">
                        <c:v>100</c:v>
                      </c:pt>
                      <c:pt idx="83">
                        <c:v>100</c:v>
                      </c:pt>
                      <c:pt idx="84">
                        <c:v>100</c:v>
                      </c:pt>
                      <c:pt idx="85">
                        <c:v>100</c:v>
                      </c:pt>
                      <c:pt idx="86">
                        <c:v>100</c:v>
                      </c:pt>
                      <c:pt idx="87">
                        <c:v>100</c:v>
                      </c:pt>
                      <c:pt idx="88">
                        <c:v>100</c:v>
                      </c:pt>
                      <c:pt idx="89">
                        <c:v>100</c:v>
                      </c:pt>
                      <c:pt idx="90">
                        <c:v>100</c:v>
                      </c:pt>
                      <c:pt idx="91">
                        <c:v>100</c:v>
                      </c:pt>
                      <c:pt idx="92">
                        <c:v>100</c:v>
                      </c:pt>
                      <c:pt idx="93">
                        <c:v>100</c:v>
                      </c:pt>
                      <c:pt idx="94">
                        <c:v>100</c:v>
                      </c:pt>
                      <c:pt idx="95">
                        <c:v>100</c:v>
                      </c:pt>
                      <c:pt idx="96">
                        <c:v>63.04</c:v>
                      </c:pt>
                      <c:pt idx="97">
                        <c:v>74.7</c:v>
                      </c:pt>
                      <c:pt idx="98">
                        <c:v>100</c:v>
                      </c:pt>
                      <c:pt idx="99">
                        <c:v>100</c:v>
                      </c:pt>
                      <c:pt idx="100">
                        <c:v>100</c:v>
                      </c:pt>
                      <c:pt idx="101">
                        <c:v>100</c:v>
                      </c:pt>
                      <c:pt idx="102">
                        <c:v>100</c:v>
                      </c:pt>
                      <c:pt idx="103">
                        <c:v>100</c:v>
                      </c:pt>
                      <c:pt idx="104">
                        <c:v>100</c:v>
                      </c:pt>
                      <c:pt idx="105">
                        <c:v>100</c:v>
                      </c:pt>
                      <c:pt idx="106">
                        <c:v>100</c:v>
                      </c:pt>
                      <c:pt idx="107">
                        <c:v>100</c:v>
                      </c:pt>
                      <c:pt idx="108">
                        <c:v>100</c:v>
                      </c:pt>
                      <c:pt idx="109">
                        <c:v>93.3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7F-4FB2-923E-D1FE40F7B617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5"/>
          <c:order val="5"/>
          <c:tx>
            <c:strRef>
              <c:f>'Datos climáticos'!$G$1</c:f>
              <c:strCache>
                <c:ptCount val="1"/>
                <c:pt idx="0">
                  <c:v>HR media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'Datos climáticos'!$A$2:$A$111</c:f>
              <c:numCache>
                <c:formatCode>m/d/yyyy</c:formatCode>
                <c:ptCount val="110"/>
                <c:pt idx="0">
                  <c:v>45369</c:v>
                </c:pt>
                <c:pt idx="1">
                  <c:v>45370</c:v>
                </c:pt>
                <c:pt idx="2">
                  <c:v>45371</c:v>
                </c:pt>
                <c:pt idx="3">
                  <c:v>45372</c:v>
                </c:pt>
                <c:pt idx="4">
                  <c:v>45373</c:v>
                </c:pt>
                <c:pt idx="5">
                  <c:v>45374</c:v>
                </c:pt>
                <c:pt idx="6">
                  <c:v>45375</c:v>
                </c:pt>
                <c:pt idx="7">
                  <c:v>45376</c:v>
                </c:pt>
                <c:pt idx="8">
                  <c:v>45377</c:v>
                </c:pt>
                <c:pt idx="9">
                  <c:v>45378</c:v>
                </c:pt>
                <c:pt idx="10">
                  <c:v>45379</c:v>
                </c:pt>
                <c:pt idx="11">
                  <c:v>45380</c:v>
                </c:pt>
                <c:pt idx="12">
                  <c:v>45381</c:v>
                </c:pt>
                <c:pt idx="13">
                  <c:v>45382</c:v>
                </c:pt>
                <c:pt idx="14">
                  <c:v>45383</c:v>
                </c:pt>
                <c:pt idx="15">
                  <c:v>45384</c:v>
                </c:pt>
                <c:pt idx="16">
                  <c:v>45385</c:v>
                </c:pt>
                <c:pt idx="17">
                  <c:v>45386</c:v>
                </c:pt>
                <c:pt idx="18">
                  <c:v>45387</c:v>
                </c:pt>
                <c:pt idx="19">
                  <c:v>45388</c:v>
                </c:pt>
                <c:pt idx="20">
                  <c:v>45389</c:v>
                </c:pt>
                <c:pt idx="21">
                  <c:v>45390</c:v>
                </c:pt>
                <c:pt idx="22">
                  <c:v>45391</c:v>
                </c:pt>
                <c:pt idx="23">
                  <c:v>45392</c:v>
                </c:pt>
                <c:pt idx="24">
                  <c:v>45393</c:v>
                </c:pt>
                <c:pt idx="25">
                  <c:v>45394</c:v>
                </c:pt>
                <c:pt idx="26">
                  <c:v>45395</c:v>
                </c:pt>
                <c:pt idx="27">
                  <c:v>45396</c:v>
                </c:pt>
                <c:pt idx="28">
                  <c:v>45397</c:v>
                </c:pt>
                <c:pt idx="29">
                  <c:v>45398</c:v>
                </c:pt>
                <c:pt idx="30">
                  <c:v>45399</c:v>
                </c:pt>
                <c:pt idx="31">
                  <c:v>45400</c:v>
                </c:pt>
                <c:pt idx="32">
                  <c:v>45401</c:v>
                </c:pt>
                <c:pt idx="33">
                  <c:v>45402</c:v>
                </c:pt>
                <c:pt idx="34">
                  <c:v>45403</c:v>
                </c:pt>
                <c:pt idx="35">
                  <c:v>45404</c:v>
                </c:pt>
                <c:pt idx="36">
                  <c:v>45405</c:v>
                </c:pt>
                <c:pt idx="37">
                  <c:v>45406</c:v>
                </c:pt>
                <c:pt idx="38">
                  <c:v>45407</c:v>
                </c:pt>
                <c:pt idx="39">
                  <c:v>45408</c:v>
                </c:pt>
                <c:pt idx="40">
                  <c:v>45409</c:v>
                </c:pt>
                <c:pt idx="41">
                  <c:v>45410</c:v>
                </c:pt>
                <c:pt idx="42">
                  <c:v>45411</c:v>
                </c:pt>
                <c:pt idx="43">
                  <c:v>45412</c:v>
                </c:pt>
                <c:pt idx="44">
                  <c:v>45413</c:v>
                </c:pt>
                <c:pt idx="45">
                  <c:v>45414</c:v>
                </c:pt>
                <c:pt idx="46">
                  <c:v>45415</c:v>
                </c:pt>
                <c:pt idx="47">
                  <c:v>45416</c:v>
                </c:pt>
                <c:pt idx="48">
                  <c:v>45417</c:v>
                </c:pt>
                <c:pt idx="49">
                  <c:v>45418</c:v>
                </c:pt>
                <c:pt idx="50">
                  <c:v>45419</c:v>
                </c:pt>
                <c:pt idx="51">
                  <c:v>45420</c:v>
                </c:pt>
                <c:pt idx="52">
                  <c:v>45421</c:v>
                </c:pt>
                <c:pt idx="53">
                  <c:v>45422</c:v>
                </c:pt>
                <c:pt idx="54">
                  <c:v>45423</c:v>
                </c:pt>
                <c:pt idx="55">
                  <c:v>45424</c:v>
                </c:pt>
                <c:pt idx="56">
                  <c:v>45425</c:v>
                </c:pt>
                <c:pt idx="57">
                  <c:v>45426</c:v>
                </c:pt>
                <c:pt idx="58">
                  <c:v>45427</c:v>
                </c:pt>
                <c:pt idx="59">
                  <c:v>45428</c:v>
                </c:pt>
                <c:pt idx="60">
                  <c:v>45429</c:v>
                </c:pt>
                <c:pt idx="61">
                  <c:v>45430</c:v>
                </c:pt>
                <c:pt idx="62">
                  <c:v>45431</c:v>
                </c:pt>
                <c:pt idx="63">
                  <c:v>45432</c:v>
                </c:pt>
                <c:pt idx="64">
                  <c:v>45433</c:v>
                </c:pt>
                <c:pt idx="65">
                  <c:v>45434</c:v>
                </c:pt>
                <c:pt idx="66">
                  <c:v>45435</c:v>
                </c:pt>
                <c:pt idx="67">
                  <c:v>45436</c:v>
                </c:pt>
                <c:pt idx="68">
                  <c:v>45437</c:v>
                </c:pt>
                <c:pt idx="69">
                  <c:v>45438</c:v>
                </c:pt>
                <c:pt idx="70">
                  <c:v>45439</c:v>
                </c:pt>
                <c:pt idx="71">
                  <c:v>45440</c:v>
                </c:pt>
                <c:pt idx="72">
                  <c:v>45441</c:v>
                </c:pt>
                <c:pt idx="73">
                  <c:v>45442</c:v>
                </c:pt>
                <c:pt idx="74">
                  <c:v>45443</c:v>
                </c:pt>
                <c:pt idx="75">
                  <c:v>45444</c:v>
                </c:pt>
                <c:pt idx="76">
                  <c:v>45445</c:v>
                </c:pt>
                <c:pt idx="77">
                  <c:v>45446</c:v>
                </c:pt>
                <c:pt idx="78">
                  <c:v>45447</c:v>
                </c:pt>
                <c:pt idx="79">
                  <c:v>45448</c:v>
                </c:pt>
                <c:pt idx="80">
                  <c:v>45449</c:v>
                </c:pt>
                <c:pt idx="81">
                  <c:v>45450</c:v>
                </c:pt>
                <c:pt idx="82">
                  <c:v>45451</c:v>
                </c:pt>
                <c:pt idx="83">
                  <c:v>45452</c:v>
                </c:pt>
                <c:pt idx="84">
                  <c:v>45453</c:v>
                </c:pt>
                <c:pt idx="85">
                  <c:v>45454</c:v>
                </c:pt>
                <c:pt idx="86">
                  <c:v>45455</c:v>
                </c:pt>
                <c:pt idx="87">
                  <c:v>45456</c:v>
                </c:pt>
                <c:pt idx="88">
                  <c:v>45457</c:v>
                </c:pt>
                <c:pt idx="89">
                  <c:v>45458</c:v>
                </c:pt>
                <c:pt idx="90">
                  <c:v>45459</c:v>
                </c:pt>
                <c:pt idx="91">
                  <c:v>45460</c:v>
                </c:pt>
                <c:pt idx="92">
                  <c:v>45461</c:v>
                </c:pt>
                <c:pt idx="93">
                  <c:v>45462</c:v>
                </c:pt>
                <c:pt idx="94">
                  <c:v>45463</c:v>
                </c:pt>
                <c:pt idx="95">
                  <c:v>45464</c:v>
                </c:pt>
                <c:pt idx="96">
                  <c:v>45465</c:v>
                </c:pt>
                <c:pt idx="97">
                  <c:v>45466</c:v>
                </c:pt>
                <c:pt idx="98">
                  <c:v>45467</c:v>
                </c:pt>
                <c:pt idx="99">
                  <c:v>45468</c:v>
                </c:pt>
                <c:pt idx="100">
                  <c:v>45469</c:v>
                </c:pt>
                <c:pt idx="101">
                  <c:v>45470</c:v>
                </c:pt>
                <c:pt idx="102">
                  <c:v>45471</c:v>
                </c:pt>
                <c:pt idx="103">
                  <c:v>45472</c:v>
                </c:pt>
                <c:pt idx="104">
                  <c:v>45473</c:v>
                </c:pt>
                <c:pt idx="105">
                  <c:v>45474</c:v>
                </c:pt>
                <c:pt idx="106">
                  <c:v>45475</c:v>
                </c:pt>
                <c:pt idx="107">
                  <c:v>45476</c:v>
                </c:pt>
                <c:pt idx="108">
                  <c:v>45477</c:v>
                </c:pt>
                <c:pt idx="109">
                  <c:v>45478</c:v>
                </c:pt>
              </c:numCache>
            </c:numRef>
          </c:cat>
          <c:val>
            <c:numRef>
              <c:f>'Datos climáticos'!$G$2:$G$111</c:f>
              <c:numCache>
                <c:formatCode>0.00</c:formatCode>
                <c:ptCount val="110"/>
                <c:pt idx="0">
                  <c:v>71.099999999999994</c:v>
                </c:pt>
                <c:pt idx="1">
                  <c:v>69.05</c:v>
                </c:pt>
                <c:pt idx="2">
                  <c:v>71.5</c:v>
                </c:pt>
                <c:pt idx="3">
                  <c:v>80.099999999999994</c:v>
                </c:pt>
                <c:pt idx="4">
                  <c:v>64.47</c:v>
                </c:pt>
                <c:pt idx="5">
                  <c:v>60.33</c:v>
                </c:pt>
                <c:pt idx="6">
                  <c:v>67.489999999999995</c:v>
                </c:pt>
                <c:pt idx="7">
                  <c:v>90.3</c:v>
                </c:pt>
                <c:pt idx="8">
                  <c:v>56.99</c:v>
                </c:pt>
                <c:pt idx="9">
                  <c:v>63.51</c:v>
                </c:pt>
                <c:pt idx="10">
                  <c:v>76.599999999999994</c:v>
                </c:pt>
                <c:pt idx="11">
                  <c:v>81.2</c:v>
                </c:pt>
                <c:pt idx="12">
                  <c:v>97.5</c:v>
                </c:pt>
                <c:pt idx="13">
                  <c:v>92.1</c:v>
                </c:pt>
                <c:pt idx="14">
                  <c:v>76</c:v>
                </c:pt>
                <c:pt idx="15">
                  <c:v>70.3</c:v>
                </c:pt>
                <c:pt idx="16">
                  <c:v>82.5</c:v>
                </c:pt>
                <c:pt idx="17">
                  <c:v>80.900000000000006</c:v>
                </c:pt>
                <c:pt idx="18">
                  <c:v>73.5</c:v>
                </c:pt>
                <c:pt idx="19">
                  <c:v>65.02</c:v>
                </c:pt>
                <c:pt idx="20">
                  <c:v>80.2</c:v>
                </c:pt>
                <c:pt idx="21">
                  <c:v>63.34</c:v>
                </c:pt>
                <c:pt idx="22">
                  <c:v>49.55</c:v>
                </c:pt>
                <c:pt idx="23">
                  <c:v>57.4</c:v>
                </c:pt>
                <c:pt idx="24">
                  <c:v>64.569999999999993</c:v>
                </c:pt>
                <c:pt idx="25">
                  <c:v>74.400000000000006</c:v>
                </c:pt>
                <c:pt idx="26">
                  <c:v>74</c:v>
                </c:pt>
                <c:pt idx="27">
                  <c:v>68.39</c:v>
                </c:pt>
                <c:pt idx="28">
                  <c:v>65.06</c:v>
                </c:pt>
                <c:pt idx="29">
                  <c:v>62.66</c:v>
                </c:pt>
                <c:pt idx="30">
                  <c:v>78.099999999999994</c:v>
                </c:pt>
                <c:pt idx="31">
                  <c:v>87.4</c:v>
                </c:pt>
                <c:pt idx="32">
                  <c:v>72.2</c:v>
                </c:pt>
                <c:pt idx="33">
                  <c:v>80.599999999999994</c:v>
                </c:pt>
                <c:pt idx="34">
                  <c:v>72.400000000000006</c:v>
                </c:pt>
                <c:pt idx="35">
                  <c:v>78.3</c:v>
                </c:pt>
                <c:pt idx="36">
                  <c:v>79.900000000000006</c:v>
                </c:pt>
                <c:pt idx="37">
                  <c:v>72.8</c:v>
                </c:pt>
                <c:pt idx="38">
                  <c:v>68.25</c:v>
                </c:pt>
                <c:pt idx="39">
                  <c:v>55.99</c:v>
                </c:pt>
                <c:pt idx="40">
                  <c:v>75.900000000000006</c:v>
                </c:pt>
                <c:pt idx="41">
                  <c:v>62.56</c:v>
                </c:pt>
                <c:pt idx="42">
                  <c:v>60.71</c:v>
                </c:pt>
                <c:pt idx="43">
                  <c:v>61.15</c:v>
                </c:pt>
                <c:pt idx="44">
                  <c:v>61</c:v>
                </c:pt>
                <c:pt idx="45">
                  <c:v>50.42</c:v>
                </c:pt>
                <c:pt idx="46">
                  <c:v>48.49</c:v>
                </c:pt>
                <c:pt idx="47">
                  <c:v>63.61</c:v>
                </c:pt>
                <c:pt idx="48">
                  <c:v>72.8</c:v>
                </c:pt>
                <c:pt idx="49">
                  <c:v>63.43</c:v>
                </c:pt>
                <c:pt idx="50">
                  <c:v>67.94</c:v>
                </c:pt>
                <c:pt idx="51">
                  <c:v>74.2</c:v>
                </c:pt>
                <c:pt idx="52">
                  <c:v>64.81</c:v>
                </c:pt>
                <c:pt idx="53">
                  <c:v>66.13</c:v>
                </c:pt>
                <c:pt idx="54">
                  <c:v>67.06</c:v>
                </c:pt>
                <c:pt idx="55">
                  <c:v>76.400000000000006</c:v>
                </c:pt>
                <c:pt idx="56">
                  <c:v>80.400000000000006</c:v>
                </c:pt>
                <c:pt idx="57">
                  <c:v>60.34</c:v>
                </c:pt>
                <c:pt idx="58">
                  <c:v>33.64</c:v>
                </c:pt>
                <c:pt idx="59">
                  <c:v>42.52</c:v>
                </c:pt>
                <c:pt idx="60">
                  <c:v>59.31</c:v>
                </c:pt>
                <c:pt idx="61">
                  <c:v>69.98</c:v>
                </c:pt>
                <c:pt idx="62">
                  <c:v>68.66</c:v>
                </c:pt>
                <c:pt idx="63">
                  <c:v>65.099999999999994</c:v>
                </c:pt>
                <c:pt idx="64">
                  <c:v>55.99</c:v>
                </c:pt>
                <c:pt idx="65">
                  <c:v>51.21</c:v>
                </c:pt>
                <c:pt idx="66">
                  <c:v>54.71</c:v>
                </c:pt>
                <c:pt idx="67">
                  <c:v>61.19</c:v>
                </c:pt>
                <c:pt idx="68">
                  <c:v>79</c:v>
                </c:pt>
                <c:pt idx="69">
                  <c:v>78.099999999999994</c:v>
                </c:pt>
                <c:pt idx="70">
                  <c:v>88.3</c:v>
                </c:pt>
                <c:pt idx="71">
                  <c:v>89</c:v>
                </c:pt>
                <c:pt idx="72">
                  <c:v>87.4</c:v>
                </c:pt>
                <c:pt idx="73">
                  <c:v>80.3</c:v>
                </c:pt>
                <c:pt idx="74">
                  <c:v>80.099999999999994</c:v>
                </c:pt>
                <c:pt idx="75">
                  <c:v>86.2</c:v>
                </c:pt>
                <c:pt idx="76">
                  <c:v>77.7</c:v>
                </c:pt>
                <c:pt idx="77">
                  <c:v>62.21</c:v>
                </c:pt>
                <c:pt idx="78">
                  <c:v>54.64</c:v>
                </c:pt>
                <c:pt idx="79">
                  <c:v>73</c:v>
                </c:pt>
                <c:pt idx="80">
                  <c:v>51.25</c:v>
                </c:pt>
                <c:pt idx="81">
                  <c:v>64.83</c:v>
                </c:pt>
                <c:pt idx="82">
                  <c:v>67.95</c:v>
                </c:pt>
                <c:pt idx="83">
                  <c:v>68.48</c:v>
                </c:pt>
                <c:pt idx="84">
                  <c:v>66.86</c:v>
                </c:pt>
                <c:pt idx="85">
                  <c:v>74.599999999999994</c:v>
                </c:pt>
                <c:pt idx="86">
                  <c:v>77.3</c:v>
                </c:pt>
                <c:pt idx="87">
                  <c:v>85.93</c:v>
                </c:pt>
                <c:pt idx="88">
                  <c:v>62.34</c:v>
                </c:pt>
                <c:pt idx="89">
                  <c:v>64.67</c:v>
                </c:pt>
                <c:pt idx="90">
                  <c:v>75.400000000000006</c:v>
                </c:pt>
                <c:pt idx="91">
                  <c:v>78.5</c:v>
                </c:pt>
                <c:pt idx="92">
                  <c:v>71.599999999999994</c:v>
                </c:pt>
                <c:pt idx="93">
                  <c:v>63.45</c:v>
                </c:pt>
                <c:pt idx="94">
                  <c:v>59.58</c:v>
                </c:pt>
                <c:pt idx="95">
                  <c:v>49.14</c:v>
                </c:pt>
                <c:pt idx="96">
                  <c:v>45.81</c:v>
                </c:pt>
                <c:pt idx="97">
                  <c:v>46.85</c:v>
                </c:pt>
                <c:pt idx="98">
                  <c:v>61.41</c:v>
                </c:pt>
                <c:pt idx="99">
                  <c:v>68.16</c:v>
                </c:pt>
                <c:pt idx="100">
                  <c:v>64.040000000000006</c:v>
                </c:pt>
                <c:pt idx="101">
                  <c:v>71.7</c:v>
                </c:pt>
                <c:pt idx="102">
                  <c:v>58.99</c:v>
                </c:pt>
                <c:pt idx="103">
                  <c:v>70.5</c:v>
                </c:pt>
                <c:pt idx="104">
                  <c:v>76.599999999999994</c:v>
                </c:pt>
                <c:pt idx="105">
                  <c:v>73</c:v>
                </c:pt>
                <c:pt idx="106">
                  <c:v>75.099999999999994</c:v>
                </c:pt>
                <c:pt idx="107">
                  <c:v>67.39</c:v>
                </c:pt>
                <c:pt idx="108">
                  <c:v>57.23</c:v>
                </c:pt>
                <c:pt idx="109">
                  <c:v>53.13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7F-4FB2-923E-D1FE40F7B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326768"/>
        <c:axId val="1705322608"/>
      </c:lineChart>
      <c:dateAx>
        <c:axId val="1705314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5303056"/>
        <c:crosses val="autoZero"/>
        <c:auto val="1"/>
        <c:lblOffset val="100"/>
        <c:baseTimeUnit val="days"/>
      </c:dateAx>
      <c:valAx>
        <c:axId val="17053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Tª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5314288"/>
        <c:crosses val="autoZero"/>
        <c:crossBetween val="between"/>
      </c:valAx>
      <c:valAx>
        <c:axId val="1705322608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5326768"/>
        <c:crosses val="max"/>
        <c:crossBetween val="between"/>
      </c:valAx>
      <c:dateAx>
        <c:axId val="17053267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0532260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496570</xdr:colOff>
      <xdr:row>8</xdr:row>
      <xdr:rowOff>110490</xdr:rowOff>
    </xdr:from>
    <xdr:to>
      <xdr:col>16</xdr:col>
      <xdr:colOff>377190</xdr:colOff>
      <xdr:row>23</xdr:row>
      <xdr:rowOff>77470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BC3182-AD5B-9D1F-83D6-2079DEBA9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8</xdr:row>
      <xdr:rowOff>139700</xdr:rowOff>
    </xdr:from>
    <xdr:to>
      <xdr:col>22</xdr:col>
      <xdr:colOff>361950</xdr:colOff>
      <xdr:row>23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C00B83C-3FB8-6376-7B41-EFB0B95E9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243840</xdr:colOff>
      <xdr:row>10</xdr:row>
      <xdr:rowOff>49530</xdr:rowOff>
    </xdr:from>
    <xdr:to>
      <xdr:col>17</xdr:col>
      <xdr:colOff>60960</xdr:colOff>
      <xdr:row>25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30D39F-45C1-D598-7595-42F63AE58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45720</xdr:colOff>
      <xdr:row>10</xdr:row>
      <xdr:rowOff>34290</xdr:rowOff>
    </xdr:from>
    <xdr:to>
      <xdr:col>23</xdr:col>
      <xdr:colOff>167640</xdr:colOff>
      <xdr:row>24</xdr:row>
      <xdr:rowOff>186690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EC0615-4D4C-529E-A24D-2B317DB53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372534</xdr:colOff>
      <xdr:row>11</xdr:row>
      <xdr:rowOff>93132</xdr:rowOff>
    </xdr:from>
    <xdr:to>
      <xdr:col>16</xdr:col>
      <xdr:colOff>592666</xdr:colOff>
      <xdr:row>30</xdr:row>
      <xdr:rowOff>169332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4C9808-3C9A-184E-D518-7CF43FE2E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8</xdr:row>
      <xdr:rowOff>148590</xdr:rowOff>
    </xdr:from>
    <xdr:to>
      <xdr:col>13</xdr:col>
      <xdr:colOff>15240</xdr:colOff>
      <xdr:row>22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0FC160-D2C1-7558-B07D-3DD95B3EA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731520</xdr:colOff>
      <xdr:row>8</xdr:row>
      <xdr:rowOff>64770</xdr:rowOff>
    </xdr:from>
    <xdr:to>
      <xdr:col>19</xdr:col>
      <xdr:colOff>350520</xdr:colOff>
      <xdr:row>23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D4A3A2-1642-975A-39B8-F69C9C227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2</xdr:row>
      <xdr:rowOff>6667</xdr:rowOff>
    </xdr:from>
    <xdr:to>
      <xdr:col>15</xdr:col>
      <xdr:colOff>30480</xdr:colOff>
      <xdr:row>14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E079FF-B168-466F-87A7-E99027F0A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\DRIVE%20SICOP\Users\Ibai\Desktop\Worksheet%20in%20LWA_new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\DRIVE%20SICOP\Users\Ibai\Desktop\Ibai%20Sicop\Ensayos%202017\SYNGENTA\SI17FF014GR01(%20VI&#209;A%20HONDARRIBIA)\ENTREGADO\SI17FF014GR01(Recuperado%20autom&#225;ticamente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\DRIVE%20SICOP\Ensayos\Ensayos%202020\APC%20EUROPE\SI20BT033-%20FRESA%20PEPTON\SI20BT033GR01\SI20BT033GR01%20Minolta-Sample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calculation - OVERAGE setting"/>
      <sheetName val="calculation - MIX SIZE setting"/>
      <sheetName val="crop specific data"/>
      <sheetName val="Necesidades de Producto"/>
      <sheetName val="Necesidades de Producto Pedir"/>
      <sheetName val="Worksheet in LWA_new (1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"/>
      <sheetName val="Calendario"/>
      <sheetName val="Croquis"/>
      <sheetName val="Datos"/>
      <sheetName val="Aplicaciones"/>
      <sheetName val="calculation - MIX SIZE setting1"/>
      <sheetName val="calculation - MIX SIZE se 3ª ap"/>
      <sheetName val="calculation - MIX SIZE 5aplica"/>
      <sheetName val="Evaluacion 12DD4A"/>
      <sheetName val="Evaluación 10DD5A"/>
      <sheetName val="Evaluación 8DD6A "/>
      <sheetName val="Evaluación 10DD7A"/>
      <sheetName val="Evaluacion 12DD4A 100Hoj"/>
      <sheetName val="Evaluacion 10DD5A 100Hoj "/>
      <sheetName val="Evaluacion 8DD6A 100 Hoj"/>
      <sheetName val="Evaluacion 10DD7A 100 Hoj"/>
      <sheetName val="RESUMEN HOJAS 100Hoj"/>
      <sheetName val="RESUMEN HOJAS"/>
      <sheetName val="RESUMEN RACIMOS"/>
      <sheetName val="RESUMEN ESTADO PARCELA"/>
      <sheetName val="grafica meteo"/>
      <sheetName val="grafica meteo hR med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fg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D1DB-332E-4B5D-9D4E-2C26B681E939}">
  <sheetPr codeName="Hoja1">
    <tabColor rgb="FF92D050"/>
  </sheetPr>
  <dimension ref="B1:F15"/>
  <sheetViews>
    <sheetView zoomScaleNormal="100" workbookViewId="0">
      <selection activeCell="C22" sqref="C22"/>
    </sheetView>
  </sheetViews>
  <sheetFormatPr defaultColWidth="9.140625" defaultRowHeight="15"/>
  <cols>
    <col min="2" max="2" width="24.28515625" bestFit="1" customWidth="1"/>
    <col min="3" max="3" width="134" bestFit="1" customWidth="1"/>
    <col min="5" max="5" width="10.7109375" bestFit="1" customWidth="1"/>
    <col min="6" max="6" width="10.28515625" bestFit="1" customWidth="1"/>
  </cols>
  <sheetData>
    <row r="1" spans="2:6" ht="15.75" thickBot="1"/>
    <row r="2" spans="2:6" ht="15.75" thickBot="1">
      <c r="B2" s="63" t="s">
        <v>0</v>
      </c>
      <c r="C2" s="64" t="s">
        <v>1</v>
      </c>
    </row>
    <row r="3" spans="2:6">
      <c r="B3" s="65" t="s">
        <v>2</v>
      </c>
      <c r="C3" s="64" t="s">
        <v>1</v>
      </c>
    </row>
    <row r="4" spans="2:6">
      <c r="B4" s="65" t="s">
        <v>3</v>
      </c>
      <c r="C4" s="26" t="s">
        <v>4</v>
      </c>
    </row>
    <row r="5" spans="2:6">
      <c r="B5" s="65" t="s">
        <v>5</v>
      </c>
      <c r="C5" s="26" t="s">
        <v>6</v>
      </c>
    </row>
    <row r="6" spans="2:6">
      <c r="B6" s="65" t="s">
        <v>7</v>
      </c>
      <c r="C6" s="27" t="s">
        <v>8</v>
      </c>
    </row>
    <row r="7" spans="2:6">
      <c r="B7" s="360" t="s">
        <v>9</v>
      </c>
      <c r="C7" s="27" t="s">
        <v>10</v>
      </c>
    </row>
    <row r="8" spans="2:6" ht="15.75" thickBot="1">
      <c r="B8" s="361"/>
      <c r="C8" s="66" t="s">
        <v>11</v>
      </c>
    </row>
    <row r="9" spans="2:6" ht="16.5" thickBot="1">
      <c r="B9" s="28"/>
      <c r="C9" s="29"/>
    </row>
    <row r="10" spans="2:6" ht="15.75" thickBot="1">
      <c r="B10" s="67" t="s">
        <v>12</v>
      </c>
      <c r="C10" s="314" t="s">
        <v>13</v>
      </c>
      <c r="D10" s="299" t="s">
        <v>14</v>
      </c>
      <c r="E10" s="302" t="s">
        <v>15</v>
      </c>
      <c r="F10" s="280" t="s">
        <v>16</v>
      </c>
    </row>
    <row r="11" spans="2:6">
      <c r="B11" s="206">
        <v>45369</v>
      </c>
      <c r="C11" s="350" t="s">
        <v>17</v>
      </c>
      <c r="D11" s="271">
        <v>0</v>
      </c>
      <c r="E11" s="294" t="s">
        <v>18</v>
      </c>
      <c r="F11" s="272" t="s">
        <v>19</v>
      </c>
    </row>
    <row r="12" spans="2:6">
      <c r="B12" s="221">
        <v>45376</v>
      </c>
      <c r="C12" s="351" t="s">
        <v>20</v>
      </c>
      <c r="D12" s="237">
        <f>B12-B11</f>
        <v>7</v>
      </c>
      <c r="E12" s="188" t="s">
        <v>21</v>
      </c>
      <c r="F12" s="238" t="s">
        <v>22</v>
      </c>
    </row>
    <row r="13" spans="2:6">
      <c r="B13" s="226">
        <v>45387</v>
      </c>
      <c r="C13" s="351" t="s">
        <v>23</v>
      </c>
      <c r="D13" s="237">
        <f>B13-B11</f>
        <v>18</v>
      </c>
      <c r="E13" s="188" t="s">
        <v>21</v>
      </c>
      <c r="F13" s="238" t="s">
        <v>24</v>
      </c>
    </row>
    <row r="14" spans="2:6">
      <c r="B14" s="226" t="s">
        <v>25</v>
      </c>
      <c r="C14" s="351" t="s">
        <v>26</v>
      </c>
      <c r="D14" s="237">
        <v>95</v>
      </c>
      <c r="E14" s="188" t="s">
        <v>27</v>
      </c>
      <c r="F14" s="238" t="s">
        <v>28</v>
      </c>
    </row>
    <row r="15" spans="2:6" ht="15.75" thickBot="1">
      <c r="B15" s="282">
        <v>45478</v>
      </c>
      <c r="C15" s="352" t="s">
        <v>29</v>
      </c>
      <c r="D15" s="275">
        <v>109</v>
      </c>
      <c r="E15" s="295" t="s">
        <v>30</v>
      </c>
      <c r="F15" s="241" t="s">
        <v>31</v>
      </c>
    </row>
  </sheetData>
  <mergeCells count="1">
    <mergeCell ref="B7:B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92D050"/>
  </sheetPr>
  <dimension ref="B1:P58"/>
  <sheetViews>
    <sheetView zoomScale="85" zoomScaleNormal="85" workbookViewId="0">
      <selection activeCell="D51" sqref="D51"/>
    </sheetView>
  </sheetViews>
  <sheetFormatPr defaultColWidth="9.140625" defaultRowHeight="15"/>
  <cols>
    <col min="1" max="1" width="9.140625" style="37"/>
    <col min="2" max="2" width="31.7109375" style="37" bestFit="1" customWidth="1"/>
    <col min="3" max="3" width="70" style="37" bestFit="1" customWidth="1"/>
    <col min="4" max="4" width="48.28515625" style="37" bestFit="1" customWidth="1"/>
    <col min="5" max="5" width="25.7109375" style="37" customWidth="1"/>
    <col min="6" max="6" width="23.7109375" style="37" bestFit="1" customWidth="1"/>
    <col min="7" max="7" width="14.28515625" style="37" customWidth="1"/>
    <col min="8" max="9" width="9.140625" style="37"/>
    <col min="10" max="10" width="4.140625" style="37" bestFit="1" customWidth="1"/>
    <col min="11" max="16384" width="9.140625" style="37"/>
  </cols>
  <sheetData>
    <row r="1" spans="2:16" ht="15.75" thickBot="1"/>
    <row r="2" spans="2:16" ht="19.5" thickBot="1">
      <c r="B2" s="30" t="s">
        <v>1</v>
      </c>
      <c r="D2" s="101" t="s">
        <v>32</v>
      </c>
    </row>
    <row r="4" spans="2:16" ht="15.75" thickBot="1"/>
    <row r="5" spans="2:16" ht="40.5" customHeight="1" thickBot="1">
      <c r="B5" s="31" t="s">
        <v>33</v>
      </c>
      <c r="C5" s="76" t="s">
        <v>34</v>
      </c>
      <c r="D5" s="79" t="s">
        <v>35</v>
      </c>
      <c r="E5" s="32" t="s">
        <v>36</v>
      </c>
      <c r="F5" s="32" t="s">
        <v>37</v>
      </c>
      <c r="L5" s="102"/>
    </row>
    <row r="6" spans="2:16">
      <c r="B6" s="167" t="s">
        <v>38</v>
      </c>
      <c r="C6" s="164" t="s">
        <v>39</v>
      </c>
      <c r="D6" s="103">
        <v>3</v>
      </c>
      <c r="E6" s="104" t="s">
        <v>40</v>
      </c>
      <c r="F6" s="156" t="s">
        <v>41</v>
      </c>
      <c r="I6" s="105"/>
      <c r="J6" s="106"/>
      <c r="K6" s="107"/>
      <c r="L6" s="106"/>
    </row>
    <row r="7" spans="2:16" ht="45">
      <c r="B7" s="168" t="s">
        <v>42</v>
      </c>
      <c r="C7" s="165" t="s">
        <v>43</v>
      </c>
      <c r="D7" s="108">
        <v>3</v>
      </c>
      <c r="E7" s="110" t="s">
        <v>44</v>
      </c>
      <c r="F7" s="110" t="s">
        <v>45</v>
      </c>
    </row>
    <row r="8" spans="2:16" ht="15.75" thickBot="1">
      <c r="B8" s="169" t="s">
        <v>46</v>
      </c>
      <c r="C8" s="166" t="s">
        <v>47</v>
      </c>
      <c r="D8" s="111">
        <v>3</v>
      </c>
      <c r="E8" s="153" t="s">
        <v>48</v>
      </c>
      <c r="F8" s="112" t="s">
        <v>49</v>
      </c>
    </row>
    <row r="9" spans="2:16">
      <c r="B9" s="80"/>
      <c r="C9" s="80"/>
      <c r="D9" s="81"/>
      <c r="P9" s="113"/>
    </row>
    <row r="10" spans="2:16" ht="15.75" thickBot="1">
      <c r="P10" s="100"/>
    </row>
    <row r="11" spans="2:16">
      <c r="B11" s="366" t="s">
        <v>50</v>
      </c>
      <c r="C11" s="367"/>
      <c r="D11" s="77" t="s">
        <v>51</v>
      </c>
      <c r="P11" s="365"/>
    </row>
    <row r="12" spans="2:16" ht="15.75" thickBot="1">
      <c r="B12" s="368" t="s">
        <v>52</v>
      </c>
      <c r="C12" s="369"/>
      <c r="D12" s="114">
        <v>34722434423</v>
      </c>
      <c r="F12" s="152" t="s">
        <v>53</v>
      </c>
      <c r="P12" s="365"/>
    </row>
    <row r="13" spans="2:16" ht="15.75" thickBot="1">
      <c r="P13" s="113"/>
    </row>
    <row r="14" spans="2:16" ht="15.75" thickBot="1">
      <c r="B14" s="370" t="s">
        <v>0</v>
      </c>
      <c r="C14" s="371"/>
      <c r="D14" s="116" t="s">
        <v>1</v>
      </c>
      <c r="F14" s="154" t="s">
        <v>54</v>
      </c>
      <c r="G14" s="155" t="s">
        <v>55</v>
      </c>
    </row>
    <row r="15" spans="2:16" ht="15.75" thickBot="1">
      <c r="B15" s="372" t="s">
        <v>2</v>
      </c>
      <c r="C15" s="373"/>
      <c r="D15" s="117" t="s">
        <v>1</v>
      </c>
      <c r="F15" s="362" t="s">
        <v>38</v>
      </c>
      <c r="G15" s="104">
        <v>101</v>
      </c>
    </row>
    <row r="16" spans="2:16" ht="15.75" thickBot="1">
      <c r="B16" s="118"/>
      <c r="C16" s="118"/>
      <c r="D16" s="118"/>
      <c r="F16" s="363"/>
      <c r="G16" s="109">
        <v>201</v>
      </c>
    </row>
    <row r="17" spans="2:7">
      <c r="B17" s="370" t="s">
        <v>56</v>
      </c>
      <c r="C17" s="371"/>
      <c r="D17" s="119">
        <v>45365</v>
      </c>
      <c r="F17" s="363"/>
      <c r="G17" s="109">
        <v>303</v>
      </c>
    </row>
    <row r="18" spans="2:7" ht="15.75" thickBot="1">
      <c r="B18" s="372" t="s">
        <v>57</v>
      </c>
      <c r="C18" s="373"/>
      <c r="D18" s="78"/>
      <c r="F18" s="363"/>
      <c r="G18" s="109">
        <v>403</v>
      </c>
    </row>
    <row r="19" spans="2:7" ht="15.75" thickBot="1">
      <c r="B19" s="118"/>
      <c r="C19" s="118"/>
      <c r="D19" s="118"/>
      <c r="F19" s="363" t="s">
        <v>42</v>
      </c>
      <c r="G19" s="109">
        <v>102</v>
      </c>
    </row>
    <row r="20" spans="2:7">
      <c r="B20" s="370" t="s">
        <v>58</v>
      </c>
      <c r="C20" s="371"/>
      <c r="D20" s="120" t="s">
        <v>4</v>
      </c>
      <c r="F20" s="363"/>
      <c r="G20" s="109">
        <v>202</v>
      </c>
    </row>
    <row r="21" spans="2:7" ht="15.75" thickBot="1">
      <c r="B21" s="374" t="s">
        <v>59</v>
      </c>
      <c r="C21" s="375"/>
      <c r="D21" s="121" t="s">
        <v>60</v>
      </c>
      <c r="F21" s="363"/>
      <c r="G21" s="109">
        <v>302</v>
      </c>
    </row>
    <row r="22" spans="2:7">
      <c r="B22" s="122"/>
      <c r="C22" s="122"/>
      <c r="D22" s="123"/>
      <c r="F22" s="363"/>
      <c r="G22" s="109">
        <v>402</v>
      </c>
    </row>
    <row r="23" spans="2:7" ht="18.75">
      <c r="B23" s="124" t="s">
        <v>61</v>
      </c>
      <c r="C23" s="118"/>
      <c r="D23" s="118"/>
      <c r="F23" s="363" t="s">
        <v>46</v>
      </c>
      <c r="G23" s="109">
        <v>103</v>
      </c>
    </row>
    <row r="24" spans="2:7" ht="15.75" thickBot="1">
      <c r="B24" s="118"/>
      <c r="C24" s="118"/>
      <c r="D24" s="118"/>
      <c r="F24" s="363"/>
      <c r="G24" s="109">
        <v>203</v>
      </c>
    </row>
    <row r="25" spans="2:7">
      <c r="B25" s="370" t="s">
        <v>62</v>
      </c>
      <c r="C25" s="371"/>
      <c r="D25" s="125" t="s">
        <v>63</v>
      </c>
      <c r="F25" s="363"/>
      <c r="G25" s="109">
        <v>301</v>
      </c>
    </row>
    <row r="26" spans="2:7" ht="15.75" thickBot="1">
      <c r="B26" s="376" t="s">
        <v>64</v>
      </c>
      <c r="C26" s="377"/>
      <c r="D26" s="126" t="s">
        <v>10</v>
      </c>
      <c r="F26" s="364"/>
      <c r="G26" s="153">
        <v>401</v>
      </c>
    </row>
    <row r="27" spans="2:7">
      <c r="B27" s="376" t="s">
        <v>65</v>
      </c>
      <c r="C27" s="377"/>
      <c r="D27" s="127" t="s">
        <v>66</v>
      </c>
    </row>
    <row r="28" spans="2:7">
      <c r="B28" s="376" t="s">
        <v>67</v>
      </c>
      <c r="C28" s="377"/>
      <c r="D28" s="127">
        <v>18680</v>
      </c>
    </row>
    <row r="29" spans="2:7">
      <c r="B29" s="376" t="s">
        <v>68</v>
      </c>
      <c r="C29" s="377"/>
      <c r="D29" s="127" t="s">
        <v>11</v>
      </c>
    </row>
    <row r="30" spans="2:7">
      <c r="B30" s="376" t="s">
        <v>69</v>
      </c>
      <c r="C30" s="377"/>
      <c r="D30" s="128" t="s">
        <v>40</v>
      </c>
    </row>
    <row r="31" spans="2:7">
      <c r="B31" s="376" t="s">
        <v>65</v>
      </c>
      <c r="C31" s="377"/>
      <c r="D31" s="129" t="s">
        <v>40</v>
      </c>
    </row>
    <row r="32" spans="2:7" ht="15.75" thickBot="1">
      <c r="B32" s="372" t="s">
        <v>70</v>
      </c>
      <c r="C32" s="373"/>
      <c r="D32" s="130" t="s">
        <v>40</v>
      </c>
    </row>
    <row r="33" spans="2:4">
      <c r="B33" s="118"/>
      <c r="C33" s="118"/>
      <c r="D33" s="118"/>
    </row>
    <row r="34" spans="2:4" ht="15.75" thickBot="1">
      <c r="B34" s="118"/>
      <c r="C34" s="118"/>
      <c r="D34" s="118"/>
    </row>
    <row r="35" spans="2:4">
      <c r="B35" s="131" t="s">
        <v>71</v>
      </c>
      <c r="C35" s="132" t="s">
        <v>72</v>
      </c>
    </row>
    <row r="36" spans="2:4">
      <c r="B36" s="133" t="s">
        <v>73</v>
      </c>
      <c r="C36" s="134" t="s">
        <v>74</v>
      </c>
    </row>
    <row r="37" spans="2:4">
      <c r="B37" s="133" t="s">
        <v>75</v>
      </c>
      <c r="C37" s="134" t="s">
        <v>76</v>
      </c>
    </row>
    <row r="38" spans="2:4">
      <c r="B38" s="135" t="s">
        <v>77</v>
      </c>
      <c r="C38" s="136" t="s">
        <v>40</v>
      </c>
    </row>
    <row r="39" spans="2:4">
      <c r="B39" s="133" t="s">
        <v>78</v>
      </c>
      <c r="C39" s="136">
        <v>45365</v>
      </c>
    </row>
    <row r="40" spans="2:4">
      <c r="B40" s="133" t="s">
        <v>79</v>
      </c>
      <c r="C40" s="137" t="s">
        <v>80</v>
      </c>
    </row>
    <row r="41" spans="2:4">
      <c r="B41" s="133" t="s">
        <v>81</v>
      </c>
      <c r="C41" s="137" t="s">
        <v>82</v>
      </c>
    </row>
    <row r="42" spans="2:4">
      <c r="B42" s="133" t="s">
        <v>83</v>
      </c>
      <c r="C42" s="134" t="s">
        <v>84</v>
      </c>
    </row>
    <row r="43" spans="2:4" ht="15.75" thickBot="1">
      <c r="B43" s="138" t="s">
        <v>85</v>
      </c>
      <c r="C43" s="139"/>
    </row>
    <row r="44" spans="2:4">
      <c r="B44" s="118"/>
      <c r="C44" s="118"/>
      <c r="D44" s="118"/>
    </row>
    <row r="45" spans="2:4">
      <c r="B45" s="118"/>
      <c r="C45" s="118"/>
      <c r="D45" s="118"/>
    </row>
    <row r="46" spans="2:4" ht="18.75">
      <c r="B46" s="124" t="s">
        <v>86</v>
      </c>
      <c r="C46" s="118"/>
      <c r="D46" s="118"/>
    </row>
    <row r="47" spans="2:4" ht="15.75" thickBot="1">
      <c r="B47" s="118"/>
      <c r="C47" s="118"/>
      <c r="D47" s="140"/>
    </row>
    <row r="48" spans="2:4">
      <c r="B48" s="378" t="s">
        <v>87</v>
      </c>
      <c r="C48" s="379"/>
      <c r="D48" s="141"/>
    </row>
    <row r="49" spans="2:4">
      <c r="B49" s="142" t="s">
        <v>88</v>
      </c>
      <c r="C49" s="143">
        <v>4</v>
      </c>
      <c r="D49" s="144"/>
    </row>
    <row r="50" spans="2:4">
      <c r="B50" s="142" t="s">
        <v>89</v>
      </c>
      <c r="C50" s="143" t="s">
        <v>90</v>
      </c>
      <c r="D50" s="145"/>
    </row>
    <row r="51" spans="2:4">
      <c r="B51" s="142" t="s">
        <v>91</v>
      </c>
      <c r="C51" s="143">
        <v>3</v>
      </c>
      <c r="D51" s="144"/>
    </row>
    <row r="52" spans="2:4">
      <c r="B52" s="142" t="s">
        <v>92</v>
      </c>
      <c r="C52" s="143" t="s">
        <v>93</v>
      </c>
      <c r="D52" s="207"/>
    </row>
    <row r="53" spans="2:4">
      <c r="B53" s="142" t="s">
        <v>94</v>
      </c>
      <c r="C53" s="146">
        <v>28</v>
      </c>
      <c r="D53" s="147"/>
    </row>
    <row r="54" spans="2:4" ht="15.75" thickBot="1">
      <c r="B54" s="148" t="s">
        <v>95</v>
      </c>
      <c r="C54" s="149">
        <v>84</v>
      </c>
      <c r="D54" s="150"/>
    </row>
    <row r="55" spans="2:4">
      <c r="C55" s="151"/>
    </row>
    <row r="58" spans="2:4">
      <c r="B58" s="115"/>
    </row>
  </sheetData>
  <mergeCells count="21">
    <mergeCell ref="B28:C28"/>
    <mergeCell ref="B27:C27"/>
    <mergeCell ref="B26:C26"/>
    <mergeCell ref="B25:C25"/>
    <mergeCell ref="B48:C48"/>
    <mergeCell ref="B32:C32"/>
    <mergeCell ref="B31:C31"/>
    <mergeCell ref="B30:C30"/>
    <mergeCell ref="B29:C29"/>
    <mergeCell ref="F15:F18"/>
    <mergeCell ref="F19:F22"/>
    <mergeCell ref="F23:F26"/>
    <mergeCell ref="P11:P12"/>
    <mergeCell ref="B11:C11"/>
    <mergeCell ref="B12:C12"/>
    <mergeCell ref="B17:C17"/>
    <mergeCell ref="B18:C18"/>
    <mergeCell ref="B21:C21"/>
    <mergeCell ref="B20:C20"/>
    <mergeCell ref="B14:C14"/>
    <mergeCell ref="B15:C15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AB8A-4D63-450A-B915-08B7FAE2BA4A}">
  <sheetPr codeName="Hoja3">
    <tabColor rgb="FF00B050"/>
  </sheetPr>
  <dimension ref="B2:D29"/>
  <sheetViews>
    <sheetView workbookViewId="0">
      <selection activeCell="D27" sqref="D27"/>
    </sheetView>
  </sheetViews>
  <sheetFormatPr defaultColWidth="11.42578125" defaultRowHeight="15"/>
  <cols>
    <col min="4" max="4" width="20.28515625" customWidth="1"/>
    <col min="5" max="5" width="7.28515625" customWidth="1"/>
    <col min="6" max="6" width="8.140625" customWidth="1"/>
  </cols>
  <sheetData>
    <row r="2" spans="2:4" ht="15.75" thickBot="1"/>
    <row r="3" spans="2:4" ht="24" thickBot="1">
      <c r="B3" s="380" t="s">
        <v>1</v>
      </c>
      <c r="C3" s="381"/>
      <c r="D3" s="42" t="s">
        <v>96</v>
      </c>
    </row>
    <row r="5" spans="2:4" ht="18.75">
      <c r="B5" s="1" t="s">
        <v>97</v>
      </c>
      <c r="C5" s="2"/>
      <c r="D5" s="2"/>
    </row>
    <row r="6" spans="2:4" ht="15.75" thickBot="1">
      <c r="B6" s="2"/>
      <c r="C6" s="2"/>
      <c r="D6" s="2"/>
    </row>
    <row r="7" spans="2:4">
      <c r="B7" s="3" t="s">
        <v>12</v>
      </c>
      <c r="C7" s="4"/>
      <c r="D7" s="5">
        <v>45369</v>
      </c>
    </row>
    <row r="8" spans="2:4">
      <c r="B8" s="6" t="s">
        <v>50</v>
      </c>
      <c r="C8" s="7"/>
      <c r="D8" s="8" t="s">
        <v>98</v>
      </c>
    </row>
    <row r="9" spans="2:4">
      <c r="B9" s="6" t="s">
        <v>56</v>
      </c>
      <c r="C9" s="7"/>
      <c r="D9" s="9">
        <v>0.47916666666666669</v>
      </c>
    </row>
    <row r="10" spans="2:4">
      <c r="B10" s="6" t="s">
        <v>57</v>
      </c>
      <c r="C10" s="7"/>
      <c r="D10" s="9">
        <v>0.50138888888888888</v>
      </c>
    </row>
    <row r="11" spans="2:4">
      <c r="B11" s="6" t="s">
        <v>99</v>
      </c>
      <c r="C11" s="7"/>
      <c r="D11" s="10" t="s">
        <v>100</v>
      </c>
    </row>
    <row r="12" spans="2:4">
      <c r="B12" s="6" t="s">
        <v>101</v>
      </c>
      <c r="C12" s="7"/>
      <c r="D12" s="10" t="s">
        <v>102</v>
      </c>
    </row>
    <row r="13" spans="2:4">
      <c r="B13" s="6" t="s">
        <v>103</v>
      </c>
      <c r="C13" s="7"/>
      <c r="D13" s="10" t="s">
        <v>104</v>
      </c>
    </row>
    <row r="14" spans="2:4" ht="15.75" thickBot="1">
      <c r="B14" s="11" t="s">
        <v>105</v>
      </c>
      <c r="C14" s="12"/>
      <c r="D14" s="13" t="s">
        <v>80</v>
      </c>
    </row>
    <row r="15" spans="2:4">
      <c r="B15" s="2"/>
      <c r="C15" s="2"/>
      <c r="D15" s="14"/>
    </row>
    <row r="16" spans="2:4" ht="18.75">
      <c r="B16" s="1" t="s">
        <v>106</v>
      </c>
      <c r="C16" s="2"/>
      <c r="D16" s="14"/>
    </row>
    <row r="17" spans="2:4" ht="15.75" thickBot="1">
      <c r="B17" s="2"/>
      <c r="C17" s="2"/>
      <c r="D17" s="14"/>
    </row>
    <row r="18" spans="2:4">
      <c r="B18" s="15" t="s">
        <v>107</v>
      </c>
      <c r="C18" s="16"/>
      <c r="D18" s="222">
        <v>29.7</v>
      </c>
    </row>
    <row r="19" spans="2:4">
      <c r="B19" s="17" t="s">
        <v>108</v>
      </c>
      <c r="C19" s="18"/>
      <c r="D19" s="223">
        <v>29.7</v>
      </c>
    </row>
    <row r="20" spans="2:4">
      <c r="B20" s="17" t="s">
        <v>109</v>
      </c>
      <c r="C20" s="18"/>
      <c r="D20" s="19">
        <v>0.22</v>
      </c>
    </row>
    <row r="21" spans="2:4">
      <c r="B21" s="17" t="s">
        <v>110</v>
      </c>
      <c r="C21" s="18"/>
      <c r="D21" s="19">
        <v>0.28000000000000003</v>
      </c>
    </row>
    <row r="22" spans="2:4">
      <c r="B22" s="17" t="s">
        <v>111</v>
      </c>
      <c r="C22" s="18"/>
      <c r="D22" s="10" t="s">
        <v>112</v>
      </c>
    </row>
    <row r="23" spans="2:4" ht="15.75" thickBot="1">
      <c r="B23" s="20" t="s">
        <v>113</v>
      </c>
      <c r="C23" s="21"/>
      <c r="D23" s="22" t="s">
        <v>114</v>
      </c>
    </row>
    <row r="24" spans="2:4">
      <c r="B24" s="2"/>
      <c r="C24" s="2"/>
      <c r="D24" s="14"/>
    </row>
    <row r="25" spans="2:4" ht="18.75">
      <c r="B25" s="1" t="s">
        <v>115</v>
      </c>
      <c r="C25" s="2"/>
      <c r="D25" s="14"/>
    </row>
    <row r="26" spans="2:4" ht="15.75" thickBot="1">
      <c r="B26" s="2"/>
      <c r="C26" s="2"/>
      <c r="D26" s="14"/>
    </row>
    <row r="27" spans="2:4" ht="15.75" thickBot="1">
      <c r="B27" s="23" t="s">
        <v>116</v>
      </c>
      <c r="C27" s="24"/>
      <c r="D27" s="25">
        <v>45478</v>
      </c>
    </row>
    <row r="28" spans="2:4" ht="15.75" thickBot="1">
      <c r="B28" s="23" t="s">
        <v>117</v>
      </c>
      <c r="C28" s="195"/>
      <c r="D28" s="25" t="s">
        <v>118</v>
      </c>
    </row>
    <row r="29" spans="2:4" ht="15.75" thickBot="1">
      <c r="B29" s="23" t="s">
        <v>119</v>
      </c>
      <c r="C29" s="195"/>
      <c r="D29" s="25" t="s">
        <v>120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2BE1-A630-4F3F-AB25-0A26AF52846F}">
  <sheetPr>
    <tabColor rgb="FF00B050"/>
  </sheetPr>
  <dimension ref="B2:D29"/>
  <sheetViews>
    <sheetView workbookViewId="0">
      <selection activeCell="G14" sqref="G14"/>
    </sheetView>
  </sheetViews>
  <sheetFormatPr defaultColWidth="11.42578125" defaultRowHeight="15"/>
  <cols>
    <col min="4" max="4" width="20.28515625" customWidth="1"/>
    <col min="5" max="5" width="7.28515625" customWidth="1"/>
    <col min="6" max="6" width="8.140625" customWidth="1"/>
  </cols>
  <sheetData>
    <row r="2" spans="2:4" ht="15.75" thickBot="1"/>
    <row r="3" spans="2:4" ht="24" thickBot="1">
      <c r="B3" s="380" t="s">
        <v>1</v>
      </c>
      <c r="C3" s="381"/>
      <c r="D3" s="42" t="s">
        <v>121</v>
      </c>
    </row>
    <row r="5" spans="2:4" ht="18.75">
      <c r="B5" s="1" t="s">
        <v>122</v>
      </c>
      <c r="C5" s="2"/>
      <c r="D5" s="2"/>
    </row>
    <row r="6" spans="2:4" ht="15.75" thickBot="1">
      <c r="B6" s="2"/>
      <c r="C6" s="2"/>
      <c r="D6" s="2"/>
    </row>
    <row r="7" spans="2:4">
      <c r="B7" s="3" t="s">
        <v>12</v>
      </c>
      <c r="C7" s="4"/>
      <c r="D7" s="5">
        <v>45464</v>
      </c>
    </row>
    <row r="8" spans="2:4">
      <c r="B8" s="6" t="s">
        <v>50</v>
      </c>
      <c r="C8" s="7"/>
      <c r="D8" s="8" t="s">
        <v>123</v>
      </c>
    </row>
    <row r="9" spans="2:4">
      <c r="B9" s="6" t="s">
        <v>56</v>
      </c>
      <c r="C9" s="7"/>
      <c r="D9" s="9">
        <v>0.43125000000000002</v>
      </c>
    </row>
    <row r="10" spans="2:4">
      <c r="B10" s="6" t="s">
        <v>57</v>
      </c>
      <c r="C10" s="7"/>
      <c r="D10" s="9">
        <v>0.45208333333333334</v>
      </c>
    </row>
    <row r="11" spans="2:4">
      <c r="B11" s="6" t="s">
        <v>99</v>
      </c>
      <c r="C11" s="7"/>
      <c r="D11" s="10" t="s">
        <v>100</v>
      </c>
    </row>
    <row r="12" spans="2:4">
      <c r="B12" s="6" t="s">
        <v>101</v>
      </c>
      <c r="C12" s="7"/>
      <c r="D12" s="10" t="s">
        <v>124</v>
      </c>
    </row>
    <row r="13" spans="2:4">
      <c r="B13" s="6" t="s">
        <v>103</v>
      </c>
      <c r="C13" s="7"/>
      <c r="D13" s="10" t="s">
        <v>125</v>
      </c>
    </row>
    <row r="14" spans="2:4" ht="15.75" thickBot="1">
      <c r="B14" s="11" t="s">
        <v>105</v>
      </c>
      <c r="C14" s="12"/>
      <c r="D14" s="13" t="s">
        <v>80</v>
      </c>
    </row>
    <row r="15" spans="2:4">
      <c r="B15" s="2"/>
      <c r="C15" s="2"/>
      <c r="D15" s="14"/>
    </row>
    <row r="16" spans="2:4" ht="18.75">
      <c r="B16" s="1" t="s">
        <v>106</v>
      </c>
      <c r="C16" s="2"/>
      <c r="D16" s="14"/>
    </row>
    <row r="17" spans="2:4" ht="15.75" thickBot="1">
      <c r="B17" s="2"/>
      <c r="C17" s="2"/>
      <c r="D17" s="14"/>
    </row>
    <row r="18" spans="2:4">
      <c r="B18" s="15" t="s">
        <v>107</v>
      </c>
      <c r="C18" s="16"/>
      <c r="D18" s="74">
        <v>20.3</v>
      </c>
    </row>
    <row r="19" spans="2:4">
      <c r="B19" s="17" t="s">
        <v>108</v>
      </c>
      <c r="C19" s="18"/>
      <c r="D19" s="75">
        <v>22</v>
      </c>
    </row>
    <row r="20" spans="2:4">
      <c r="B20" s="17" t="s">
        <v>109</v>
      </c>
      <c r="C20" s="18"/>
      <c r="D20" s="19">
        <v>0.51</v>
      </c>
    </row>
    <row r="21" spans="2:4">
      <c r="B21" s="17" t="s">
        <v>110</v>
      </c>
      <c r="C21" s="18"/>
      <c r="D21" s="19">
        <v>0.49</v>
      </c>
    </row>
    <row r="22" spans="2:4">
      <c r="B22" s="17" t="s">
        <v>111</v>
      </c>
      <c r="C22" s="18"/>
      <c r="D22" s="10" t="s">
        <v>80</v>
      </c>
    </row>
    <row r="23" spans="2:4" ht="15.75" thickBot="1">
      <c r="B23" s="20" t="s">
        <v>113</v>
      </c>
      <c r="C23" s="21"/>
      <c r="D23" s="22" t="s">
        <v>80</v>
      </c>
    </row>
    <row r="24" spans="2:4">
      <c r="B24" s="2"/>
      <c r="C24" s="2"/>
      <c r="D24" s="14"/>
    </row>
    <row r="25" spans="2:4" ht="18.75">
      <c r="B25" s="1" t="s">
        <v>115</v>
      </c>
      <c r="C25" s="2"/>
      <c r="D25" s="14"/>
    </row>
    <row r="26" spans="2:4" ht="15.75" thickBot="1">
      <c r="B26" s="2"/>
      <c r="C26" s="2"/>
      <c r="D26" s="14"/>
    </row>
    <row r="27" spans="2:4" ht="15.75" thickBot="1">
      <c r="B27" s="23" t="s">
        <v>116</v>
      </c>
      <c r="C27" s="24"/>
      <c r="D27" s="25">
        <v>53</v>
      </c>
    </row>
    <row r="28" spans="2:4" ht="15.75" thickBot="1">
      <c r="B28" s="23" t="s">
        <v>117</v>
      </c>
      <c r="C28" s="24"/>
      <c r="D28" s="25" t="s">
        <v>126</v>
      </c>
    </row>
    <row r="29" spans="2:4" ht="15.75" thickBot="1">
      <c r="B29" s="23" t="s">
        <v>119</v>
      </c>
      <c r="C29" s="24"/>
      <c r="D29" s="25" t="s">
        <v>127</v>
      </c>
    </row>
  </sheetData>
  <mergeCells count="1"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B0AB-950D-43A2-8031-4A787B888744}">
  <sheetPr codeName="Hoja4">
    <tabColor rgb="FF00B050"/>
  </sheetPr>
  <dimension ref="B2:D29"/>
  <sheetViews>
    <sheetView workbookViewId="0">
      <selection activeCell="D28" sqref="D28"/>
    </sheetView>
  </sheetViews>
  <sheetFormatPr defaultColWidth="11.42578125" defaultRowHeight="15"/>
  <cols>
    <col min="4" max="4" width="20.28515625" customWidth="1"/>
    <col min="5" max="5" width="7.28515625" customWidth="1"/>
    <col min="6" max="6" width="8.140625" customWidth="1"/>
  </cols>
  <sheetData>
    <row r="2" spans="2:4" ht="15.75" thickBot="1"/>
    <row r="3" spans="2:4" ht="24" thickBot="1">
      <c r="B3" s="380" t="s">
        <v>1</v>
      </c>
      <c r="C3" s="381"/>
      <c r="D3" s="42" t="s">
        <v>128</v>
      </c>
    </row>
    <row r="5" spans="2:4" ht="18.75">
      <c r="B5" s="1" t="s">
        <v>97</v>
      </c>
      <c r="C5" s="2"/>
      <c r="D5" s="2"/>
    </row>
    <row r="6" spans="2:4" ht="15.75" thickBot="1">
      <c r="B6" s="2"/>
      <c r="C6" s="2"/>
      <c r="D6" s="2"/>
    </row>
    <row r="7" spans="2:4">
      <c r="B7" s="3" t="s">
        <v>12</v>
      </c>
      <c r="C7" s="4"/>
      <c r="D7" s="5">
        <v>45387</v>
      </c>
    </row>
    <row r="8" spans="2:4">
      <c r="B8" s="6" t="s">
        <v>50</v>
      </c>
      <c r="C8" s="7"/>
      <c r="D8" s="8" t="s">
        <v>129</v>
      </c>
    </row>
    <row r="9" spans="2:4">
      <c r="B9" s="6" t="s">
        <v>56</v>
      </c>
      <c r="C9" s="7"/>
      <c r="D9" s="9">
        <v>0.41666666666666669</v>
      </c>
    </row>
    <row r="10" spans="2:4">
      <c r="B10" s="6" t="s">
        <v>57</v>
      </c>
      <c r="C10" s="7"/>
      <c r="D10" s="9">
        <v>0.44166666666666665</v>
      </c>
    </row>
    <row r="11" spans="2:4">
      <c r="B11" s="6" t="s">
        <v>99</v>
      </c>
      <c r="C11" s="7"/>
      <c r="D11" s="10" t="s">
        <v>100</v>
      </c>
    </row>
    <row r="12" spans="2:4">
      <c r="B12" s="6" t="s">
        <v>101</v>
      </c>
      <c r="C12" s="7"/>
      <c r="D12" s="10" t="s">
        <v>102</v>
      </c>
    </row>
    <row r="13" spans="2:4">
      <c r="B13" s="6" t="s">
        <v>103</v>
      </c>
      <c r="C13" s="7"/>
      <c r="D13" s="10" t="s">
        <v>104</v>
      </c>
    </row>
    <row r="14" spans="2:4" ht="15.75" thickBot="1">
      <c r="B14" s="11" t="s">
        <v>105</v>
      </c>
      <c r="C14" s="12"/>
      <c r="D14" s="13" t="s">
        <v>80</v>
      </c>
    </row>
    <row r="15" spans="2:4">
      <c r="B15" s="2"/>
      <c r="C15" s="2"/>
      <c r="D15" s="14"/>
    </row>
    <row r="16" spans="2:4" ht="18.75">
      <c r="B16" s="1" t="s">
        <v>106</v>
      </c>
      <c r="C16" s="2"/>
      <c r="D16" s="14"/>
    </row>
    <row r="17" spans="2:4" ht="15.75" thickBot="1">
      <c r="B17" s="2"/>
      <c r="C17" s="2"/>
      <c r="D17" s="14"/>
    </row>
    <row r="18" spans="2:4">
      <c r="B18" s="15" t="s">
        <v>107</v>
      </c>
      <c r="C18" s="16"/>
      <c r="D18" s="74">
        <v>20.9</v>
      </c>
    </row>
    <row r="19" spans="2:4">
      <c r="B19" s="17" t="s">
        <v>108</v>
      </c>
      <c r="C19" s="18"/>
      <c r="D19" s="75">
        <v>24.9</v>
      </c>
    </row>
    <row r="20" spans="2:4">
      <c r="B20" s="17" t="s">
        <v>109</v>
      </c>
      <c r="C20" s="18"/>
      <c r="D20" s="19">
        <v>0.5</v>
      </c>
    </row>
    <row r="21" spans="2:4">
      <c r="B21" s="17" t="s">
        <v>110</v>
      </c>
      <c r="C21" s="18"/>
      <c r="D21" s="19">
        <v>0.45</v>
      </c>
    </row>
    <row r="22" spans="2:4">
      <c r="B22" s="17" t="s">
        <v>111</v>
      </c>
      <c r="C22" s="18"/>
      <c r="D22" s="10" t="s">
        <v>112</v>
      </c>
    </row>
    <row r="23" spans="2:4" ht="15.75" thickBot="1">
      <c r="B23" s="20" t="s">
        <v>113</v>
      </c>
      <c r="C23" s="21"/>
      <c r="D23" s="22" t="s">
        <v>114</v>
      </c>
    </row>
    <row r="24" spans="2:4">
      <c r="B24" s="2"/>
      <c r="C24" s="2"/>
      <c r="D24" s="14"/>
    </row>
    <row r="25" spans="2:4" ht="18.75">
      <c r="B25" s="1" t="s">
        <v>115</v>
      </c>
      <c r="C25" s="2"/>
      <c r="D25" s="14"/>
    </row>
    <row r="26" spans="2:4" ht="15.75" thickBot="1">
      <c r="B26" s="2"/>
      <c r="C26" s="2"/>
      <c r="D26" s="14"/>
    </row>
    <row r="27" spans="2:4" ht="15.75" thickBot="1">
      <c r="B27" s="23" t="s">
        <v>116</v>
      </c>
      <c r="C27" s="24"/>
      <c r="D27" s="25">
        <v>18</v>
      </c>
    </row>
    <row r="28" spans="2:4" ht="15.75" thickBot="1">
      <c r="B28" s="23" t="s">
        <v>117</v>
      </c>
      <c r="C28" s="24"/>
      <c r="D28" s="25" t="s">
        <v>130</v>
      </c>
    </row>
    <row r="29" spans="2:4" ht="15.75" thickBot="1">
      <c r="B29" s="23" t="s">
        <v>119</v>
      </c>
      <c r="C29" s="24"/>
      <c r="D29" s="25" t="s">
        <v>131</v>
      </c>
    </row>
  </sheetData>
  <mergeCells count="1"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F3CA-0406-4306-9027-20384517D4D3}">
  <sheetPr>
    <tabColor rgb="FF92D050"/>
  </sheetPr>
  <dimension ref="A1:U146"/>
  <sheetViews>
    <sheetView tabSelected="1" zoomScale="120" zoomScaleNormal="120" workbookViewId="0">
      <selection activeCell="G19" sqref="G19:K19"/>
    </sheetView>
  </sheetViews>
  <sheetFormatPr defaultColWidth="11.5703125" defaultRowHeight="15"/>
  <cols>
    <col min="1" max="1" width="3.28515625" style="40" bestFit="1" customWidth="1"/>
    <col min="2" max="2" width="5.28515625" style="40" customWidth="1"/>
    <col min="3" max="3" width="14.28515625" style="40" customWidth="1"/>
    <col min="4" max="4" width="16.7109375" style="172" customWidth="1"/>
    <col min="5" max="5" width="11.28515625" style="172" bestFit="1" customWidth="1"/>
    <col min="6" max="6" width="11" style="40" bestFit="1" customWidth="1"/>
    <col min="7" max="11" width="11.5703125" style="40"/>
    <col min="12" max="12" width="9.7109375" style="40" customWidth="1"/>
    <col min="13" max="13" width="19.7109375" style="40" customWidth="1"/>
    <col min="14" max="15" width="11.5703125" style="40"/>
    <col min="16" max="16" width="15.85546875" style="40" customWidth="1"/>
    <col min="17" max="17" width="14.85546875" style="40" customWidth="1"/>
    <col min="18" max="21" width="11.5703125" style="40"/>
    <col min="22" max="23" width="15.140625" style="40" customWidth="1"/>
    <col min="24" max="16384" width="11.5703125" style="40"/>
  </cols>
  <sheetData>
    <row r="1" spans="1:21">
      <c r="C1" s="83"/>
      <c r="D1" s="170"/>
      <c r="E1" s="185"/>
    </row>
    <row r="2" spans="1:21" ht="19.5" thickBot="1">
      <c r="A2" s="382" t="s">
        <v>132</v>
      </c>
      <c r="B2" s="382"/>
      <c r="C2" s="382"/>
      <c r="D2" s="382"/>
      <c r="E2" s="186"/>
      <c r="G2" s="383" t="s">
        <v>133</v>
      </c>
      <c r="H2" s="383"/>
      <c r="M2" s="384" t="s">
        <v>134</v>
      </c>
      <c r="N2" s="384"/>
      <c r="Q2" s="44"/>
      <c r="R2" s="388" t="s">
        <v>135</v>
      </c>
      <c r="S2" s="388"/>
      <c r="T2" s="388"/>
    </row>
    <row r="3" spans="1:21" ht="15.75" thickBot="1">
      <c r="C3" s="62">
        <v>45387</v>
      </c>
      <c r="D3" s="254">
        <v>45464</v>
      </c>
      <c r="E3" s="185">
        <v>45478</v>
      </c>
      <c r="F3" s="62"/>
      <c r="I3" s="355" t="s">
        <v>136</v>
      </c>
      <c r="J3" s="356" t="s">
        <v>137</v>
      </c>
      <c r="K3" s="357" t="s">
        <v>138</v>
      </c>
      <c r="N3" s="199" t="s">
        <v>136</v>
      </c>
      <c r="O3" s="199" t="s">
        <v>137</v>
      </c>
      <c r="P3" s="301" t="s">
        <v>138</v>
      </c>
      <c r="S3" s="199" t="s">
        <v>136</v>
      </c>
      <c r="T3" s="199" t="s">
        <v>137</v>
      </c>
      <c r="U3" s="200" t="s">
        <v>138</v>
      </c>
    </row>
    <row r="4" spans="1:21" ht="15.75" thickBot="1">
      <c r="A4" s="37"/>
      <c r="B4" s="321" t="s">
        <v>139</v>
      </c>
      <c r="C4" s="82" t="s">
        <v>140</v>
      </c>
      <c r="D4" s="171" t="s">
        <v>141</v>
      </c>
      <c r="E4" s="171" t="s">
        <v>31</v>
      </c>
      <c r="G4" s="37"/>
      <c r="H4" s="37"/>
      <c r="I4" s="353" t="s">
        <v>140</v>
      </c>
      <c r="J4" s="353" t="s">
        <v>141</v>
      </c>
      <c r="K4" s="354" t="s">
        <v>31</v>
      </c>
      <c r="L4" s="89"/>
      <c r="M4" s="306" t="s">
        <v>142</v>
      </c>
      <c r="N4" s="202">
        <f>AVERAGE(I5:I8)</f>
        <v>0.36678571428571427</v>
      </c>
      <c r="O4" s="309">
        <f>AVERAGE(J5:J8)</f>
        <v>0.31392857142857145</v>
      </c>
      <c r="P4" s="204">
        <f>AVERAGE(K5:K8)</f>
        <v>0.42892857142857144</v>
      </c>
      <c r="R4" s="315" t="s">
        <v>43</v>
      </c>
      <c r="S4" s="224">
        <f t="shared" ref="S4:U5" si="0">N5*100/N$4-100</f>
        <v>-15.1898734177215</v>
      </c>
      <c r="T4" s="296">
        <f t="shared" si="0"/>
        <v>4.8919226393629174</v>
      </c>
      <c r="U4" s="297">
        <f t="shared" si="0"/>
        <v>-6.8276436303080743</v>
      </c>
    </row>
    <row r="5" spans="1:21" ht="15.75" thickBot="1">
      <c r="A5" s="39">
        <v>1</v>
      </c>
      <c r="B5" s="46">
        <v>101</v>
      </c>
      <c r="C5" s="70">
        <v>0.21</v>
      </c>
      <c r="D5" s="157">
        <v>0.27</v>
      </c>
      <c r="E5" s="157">
        <v>0.33</v>
      </c>
      <c r="G5" s="385" t="s">
        <v>38</v>
      </c>
      <c r="H5" s="249">
        <v>101</v>
      </c>
      <c r="I5" s="286">
        <f t="shared" ref="I5:I16" si="1">AVERAGEIF(B:B,H5,C:C)</f>
        <v>0.24571428571428572</v>
      </c>
      <c r="J5" s="70">
        <f t="shared" ref="J5:J16" si="2">AVERAGEIF(B:B,H5,D:D)</f>
        <v>0.28285714285714286</v>
      </c>
      <c r="K5" s="70">
        <f t="shared" ref="K5:K16" si="3">AVERAGEIF(B:B,H5,E:E)</f>
        <v>0.45</v>
      </c>
      <c r="M5" s="307" t="s">
        <v>43</v>
      </c>
      <c r="N5" s="49">
        <f>AVERAGE(I9:I12)</f>
        <v>0.31107142857142861</v>
      </c>
      <c r="O5" s="190">
        <f>AVERAGE(J9:J12)</f>
        <v>0.32928571428571429</v>
      </c>
      <c r="P5" s="52">
        <f>AVERAGE(K9:K12)</f>
        <v>0.39964285714285713</v>
      </c>
      <c r="R5" s="316" t="s">
        <v>47</v>
      </c>
      <c r="S5" s="58">
        <f t="shared" si="0"/>
        <v>-6.5238558909445032</v>
      </c>
      <c r="T5" s="298">
        <f t="shared" si="0"/>
        <v>8.4186575654152307</v>
      </c>
      <c r="U5" s="99">
        <f t="shared" si="0"/>
        <v>-3.330557868442952</v>
      </c>
    </row>
    <row r="6" spans="1:21" ht="15.75" thickBot="1">
      <c r="A6" s="38">
        <v>2</v>
      </c>
      <c r="B6" s="45">
        <f>B5</f>
        <v>101</v>
      </c>
      <c r="C6" s="87">
        <v>0.27</v>
      </c>
      <c r="D6" s="159">
        <v>0.28999999999999998</v>
      </c>
      <c r="E6" s="159">
        <v>0.53</v>
      </c>
      <c r="G6" s="386"/>
      <c r="H6" s="250">
        <v>201</v>
      </c>
      <c r="I6" s="287">
        <f t="shared" si="1"/>
        <v>0.35428571428571426</v>
      </c>
      <c r="J6" s="87">
        <f t="shared" si="2"/>
        <v>0.29285714285714282</v>
      </c>
      <c r="K6" s="87">
        <f t="shared" si="3"/>
        <v>0.32285714285714284</v>
      </c>
      <c r="M6" s="308" t="s">
        <v>47</v>
      </c>
      <c r="N6" s="50">
        <f>AVERAGE(I13:I16)</f>
        <v>0.34285714285714286</v>
      </c>
      <c r="O6" s="310">
        <f>AVERAGE(J13:J16)</f>
        <v>0.34035714285714286</v>
      </c>
      <c r="P6" s="53">
        <f>AVERAGE(K13:K16)</f>
        <v>0.4146428571428572</v>
      </c>
    </row>
    <row r="7" spans="1:21">
      <c r="A7" s="38">
        <v>3</v>
      </c>
      <c r="B7" s="45">
        <f t="shared" ref="B7:B11" si="4">B6</f>
        <v>101</v>
      </c>
      <c r="C7" s="87">
        <v>0.25</v>
      </c>
      <c r="D7" s="159">
        <v>0.28000000000000003</v>
      </c>
      <c r="E7" s="159">
        <v>0.47</v>
      </c>
      <c r="G7" s="386"/>
      <c r="H7" s="250">
        <v>303</v>
      </c>
      <c r="I7" s="287">
        <f t="shared" si="1"/>
        <v>0.47285714285714281</v>
      </c>
      <c r="J7" s="87">
        <f t="shared" si="2"/>
        <v>0.39000000000000007</v>
      </c>
      <c r="K7" s="87">
        <f t="shared" si="3"/>
        <v>0.52571428571428569</v>
      </c>
      <c r="O7" s="43"/>
    </row>
    <row r="8" spans="1:21" ht="15.75" thickBot="1">
      <c r="A8" s="38">
        <v>4</v>
      </c>
      <c r="B8" s="45">
        <f t="shared" si="4"/>
        <v>101</v>
      </c>
      <c r="C8" s="87">
        <v>0.3</v>
      </c>
      <c r="D8" s="159">
        <v>0.3</v>
      </c>
      <c r="E8" s="159">
        <v>0.49</v>
      </c>
      <c r="G8" s="387"/>
      <c r="H8" s="251">
        <v>403</v>
      </c>
      <c r="I8" s="288">
        <f t="shared" si="1"/>
        <v>0.39428571428571429</v>
      </c>
      <c r="J8" s="88">
        <f t="shared" si="2"/>
        <v>0.29000000000000004</v>
      </c>
      <c r="K8" s="88">
        <f t="shared" si="3"/>
        <v>0.41714285714285715</v>
      </c>
      <c r="O8" s="43"/>
    </row>
    <row r="9" spans="1:21">
      <c r="A9" s="38">
        <v>5</v>
      </c>
      <c r="B9" s="45">
        <f t="shared" si="4"/>
        <v>101</v>
      </c>
      <c r="C9" s="87">
        <v>0.18</v>
      </c>
      <c r="D9" s="159">
        <v>0.27</v>
      </c>
      <c r="E9" s="159">
        <v>0.43</v>
      </c>
      <c r="G9" s="385" t="s">
        <v>42</v>
      </c>
      <c r="H9" s="284">
        <v>102</v>
      </c>
      <c r="I9" s="289">
        <f t="shared" si="1"/>
        <v>0.29857142857142854</v>
      </c>
      <c r="J9" s="291">
        <f t="shared" si="2"/>
        <v>0.30142857142857149</v>
      </c>
      <c r="K9" s="291">
        <f t="shared" si="3"/>
        <v>0.40285714285714286</v>
      </c>
      <c r="O9" s="43"/>
    </row>
    <row r="10" spans="1:21">
      <c r="A10" s="38">
        <v>6</v>
      </c>
      <c r="B10" s="45">
        <f t="shared" si="4"/>
        <v>101</v>
      </c>
      <c r="C10" s="87">
        <v>0.25</v>
      </c>
      <c r="D10" s="159">
        <v>0.27</v>
      </c>
      <c r="E10" s="159">
        <v>0.36</v>
      </c>
      <c r="G10" s="386"/>
      <c r="H10" s="283">
        <v>202</v>
      </c>
      <c r="I10" s="287">
        <f t="shared" si="1"/>
        <v>0.30428571428571433</v>
      </c>
      <c r="J10" s="87">
        <f t="shared" si="2"/>
        <v>0.3714285714285715</v>
      </c>
      <c r="K10" s="87">
        <f t="shared" si="3"/>
        <v>0.41428571428571426</v>
      </c>
      <c r="O10" s="43"/>
    </row>
    <row r="11" spans="1:21" ht="15.75" thickBot="1">
      <c r="A11" s="38">
        <v>7</v>
      </c>
      <c r="B11" s="45">
        <f t="shared" si="4"/>
        <v>101</v>
      </c>
      <c r="C11" s="87">
        <v>0.26</v>
      </c>
      <c r="D11" s="159">
        <v>0.3</v>
      </c>
      <c r="E11" s="159">
        <v>0.54</v>
      </c>
      <c r="G11" s="386"/>
      <c r="H11" s="283">
        <v>302</v>
      </c>
      <c r="I11" s="287">
        <f t="shared" si="1"/>
        <v>0.3000000000000001</v>
      </c>
      <c r="J11" s="87">
        <f t="shared" si="2"/>
        <v>0.33999999999999997</v>
      </c>
      <c r="K11" s="87">
        <f t="shared" si="3"/>
        <v>0.38714285714285712</v>
      </c>
      <c r="O11" s="43"/>
    </row>
    <row r="12" spans="1:21" ht="15.75" thickBot="1">
      <c r="A12" s="39">
        <v>1</v>
      </c>
      <c r="B12" s="46">
        <v>102</v>
      </c>
      <c r="C12" s="173">
        <v>0.27</v>
      </c>
      <c r="D12" s="177">
        <v>0.31</v>
      </c>
      <c r="E12" s="157">
        <v>0.59</v>
      </c>
      <c r="G12" s="387"/>
      <c r="H12" s="285">
        <v>402</v>
      </c>
      <c r="I12" s="290">
        <f t="shared" si="1"/>
        <v>0.34142857142857136</v>
      </c>
      <c r="J12" s="292">
        <f t="shared" si="2"/>
        <v>0.30428571428571427</v>
      </c>
      <c r="K12" s="292">
        <f t="shared" si="3"/>
        <v>0.39428571428571429</v>
      </c>
    </row>
    <row r="13" spans="1:21">
      <c r="A13" s="38">
        <v>2</v>
      </c>
      <c r="B13" s="45">
        <f>B12</f>
        <v>102</v>
      </c>
      <c r="C13" s="174">
        <v>0.34</v>
      </c>
      <c r="D13" s="178">
        <v>0.27</v>
      </c>
      <c r="E13" s="159">
        <v>0.32</v>
      </c>
      <c r="G13" s="385" t="s">
        <v>46</v>
      </c>
      <c r="H13" s="249">
        <v>103</v>
      </c>
      <c r="I13" s="286">
        <f t="shared" si="1"/>
        <v>0.29571428571428576</v>
      </c>
      <c r="J13" s="70">
        <f t="shared" si="2"/>
        <v>0.39428571428571429</v>
      </c>
      <c r="K13" s="70">
        <f t="shared" si="3"/>
        <v>0.39285714285714285</v>
      </c>
    </row>
    <row r="14" spans="1:21">
      <c r="A14" s="38">
        <v>3</v>
      </c>
      <c r="B14" s="45">
        <f t="shared" ref="B14:B18" si="5">B13</f>
        <v>102</v>
      </c>
      <c r="C14" s="174">
        <v>0.31</v>
      </c>
      <c r="D14" s="178">
        <v>0.34</v>
      </c>
      <c r="E14" s="159">
        <v>0.38</v>
      </c>
      <c r="G14" s="386"/>
      <c r="H14" s="250">
        <v>203</v>
      </c>
      <c r="I14" s="287">
        <f t="shared" si="1"/>
        <v>0.26428571428571429</v>
      </c>
      <c r="J14" s="87">
        <f t="shared" si="2"/>
        <v>0.2985714285714286</v>
      </c>
      <c r="K14" s="87">
        <f t="shared" si="3"/>
        <v>0.39428571428571429</v>
      </c>
    </row>
    <row r="15" spans="1:21">
      <c r="A15" s="38">
        <v>4</v>
      </c>
      <c r="B15" s="45">
        <f t="shared" si="5"/>
        <v>102</v>
      </c>
      <c r="C15" s="174">
        <v>0.23</v>
      </c>
      <c r="D15" s="178">
        <v>0.27</v>
      </c>
      <c r="E15" s="159">
        <v>0.45</v>
      </c>
      <c r="G15" s="386"/>
      <c r="H15" s="250">
        <v>301</v>
      </c>
      <c r="I15" s="287">
        <f t="shared" si="1"/>
        <v>0.44857142857142857</v>
      </c>
      <c r="J15" s="87">
        <f t="shared" si="2"/>
        <v>0.33142857142857146</v>
      </c>
      <c r="K15" s="87">
        <f t="shared" si="3"/>
        <v>0.49142857142857149</v>
      </c>
    </row>
    <row r="16" spans="1:21" ht="15.75" thickBot="1">
      <c r="A16" s="38">
        <v>5</v>
      </c>
      <c r="B16" s="45">
        <f t="shared" si="5"/>
        <v>102</v>
      </c>
      <c r="C16" s="174">
        <v>0.37</v>
      </c>
      <c r="D16" s="178">
        <v>0.32</v>
      </c>
      <c r="E16" s="159">
        <v>0.39</v>
      </c>
      <c r="G16" s="387"/>
      <c r="H16" s="251">
        <v>401</v>
      </c>
      <c r="I16" s="288">
        <f t="shared" si="1"/>
        <v>0.36285714285714288</v>
      </c>
      <c r="J16" s="88">
        <f t="shared" si="2"/>
        <v>0.33714285714285713</v>
      </c>
      <c r="K16" s="88">
        <f t="shared" si="3"/>
        <v>0.38</v>
      </c>
    </row>
    <row r="17" spans="1:15">
      <c r="A17" s="38">
        <v>6</v>
      </c>
      <c r="B17" s="45">
        <f t="shared" si="5"/>
        <v>102</v>
      </c>
      <c r="C17" s="174">
        <v>0.26</v>
      </c>
      <c r="D17" s="178">
        <v>0.27</v>
      </c>
      <c r="E17" s="159">
        <v>0.31</v>
      </c>
      <c r="G17" s="180"/>
      <c r="H17" s="37"/>
      <c r="I17" s="158"/>
      <c r="J17" s="158"/>
      <c r="K17" s="158"/>
    </row>
    <row r="18" spans="1:15" ht="15.75" thickBot="1">
      <c r="A18" s="38">
        <v>7</v>
      </c>
      <c r="B18" s="45">
        <f t="shared" si="5"/>
        <v>102</v>
      </c>
      <c r="C18" s="174">
        <v>0.31</v>
      </c>
      <c r="D18" s="178">
        <v>0.33</v>
      </c>
      <c r="E18" s="159">
        <v>0.38</v>
      </c>
      <c r="G18" s="180"/>
      <c r="H18" s="37"/>
      <c r="I18" s="158"/>
      <c r="J18" s="158"/>
      <c r="K18" s="158"/>
    </row>
    <row r="19" spans="1:15">
      <c r="A19" s="39">
        <v>1</v>
      </c>
      <c r="B19" s="46">
        <v>103</v>
      </c>
      <c r="C19" s="70">
        <v>0.37</v>
      </c>
      <c r="D19" s="176">
        <v>0.4</v>
      </c>
      <c r="E19" s="157">
        <v>0.51</v>
      </c>
      <c r="G19" s="180"/>
      <c r="H19" s="37"/>
      <c r="I19" s="158"/>
      <c r="J19" s="158"/>
      <c r="K19" s="158"/>
    </row>
    <row r="20" spans="1:15">
      <c r="A20" s="38">
        <v>2</v>
      </c>
      <c r="B20" s="45">
        <f>B19</f>
        <v>103</v>
      </c>
      <c r="C20" s="87">
        <v>0.28000000000000003</v>
      </c>
      <c r="D20" s="159">
        <v>0.39</v>
      </c>
      <c r="E20" s="159">
        <v>0.65</v>
      </c>
      <c r="G20" s="180"/>
      <c r="H20" s="37"/>
      <c r="I20" s="158"/>
      <c r="J20" s="158"/>
      <c r="K20" s="158"/>
    </row>
    <row r="21" spans="1:15">
      <c r="A21" s="38">
        <v>3</v>
      </c>
      <c r="B21" s="45">
        <f t="shared" ref="B21:B25" si="6">B20</f>
        <v>103</v>
      </c>
      <c r="C21" s="87">
        <v>0.28000000000000003</v>
      </c>
      <c r="D21" s="159">
        <v>0.38</v>
      </c>
      <c r="E21" s="159">
        <v>0.3</v>
      </c>
      <c r="G21" s="180"/>
      <c r="H21" s="37"/>
      <c r="I21" s="158"/>
      <c r="J21" s="158"/>
      <c r="K21" s="158"/>
    </row>
    <row r="22" spans="1:15">
      <c r="A22" s="38">
        <v>4</v>
      </c>
      <c r="B22" s="45">
        <f t="shared" si="6"/>
        <v>103</v>
      </c>
      <c r="C22" s="87">
        <v>0.25</v>
      </c>
      <c r="D22" s="159">
        <v>0.39</v>
      </c>
      <c r="E22" s="159">
        <v>0.37</v>
      </c>
      <c r="G22" s="180"/>
      <c r="H22" s="37"/>
      <c r="I22" s="158"/>
      <c r="J22" s="158"/>
      <c r="K22" s="158"/>
    </row>
    <row r="23" spans="1:15">
      <c r="A23" s="38">
        <v>5</v>
      </c>
      <c r="B23" s="45">
        <f t="shared" si="6"/>
        <v>103</v>
      </c>
      <c r="C23" s="87">
        <v>0.33</v>
      </c>
      <c r="D23" s="159">
        <v>0.39</v>
      </c>
      <c r="E23" s="159">
        <v>0.31</v>
      </c>
      <c r="G23" s="180"/>
      <c r="H23" s="37"/>
      <c r="I23" s="158"/>
      <c r="J23" s="158"/>
      <c r="K23" s="158"/>
    </row>
    <row r="24" spans="1:15">
      <c r="A24" s="38">
        <v>6</v>
      </c>
      <c r="B24" s="45">
        <f t="shared" si="6"/>
        <v>103</v>
      </c>
      <c r="C24" s="87">
        <v>0.22</v>
      </c>
      <c r="D24" s="159">
        <v>0.4</v>
      </c>
      <c r="E24" s="159">
        <v>0.3</v>
      </c>
      <c r="G24" s="180"/>
      <c r="H24" s="37"/>
      <c r="I24" s="158"/>
      <c r="J24" s="158"/>
      <c r="K24" s="158"/>
    </row>
    <row r="25" spans="1:15" ht="15.75" thickBot="1">
      <c r="A25" s="38">
        <v>7</v>
      </c>
      <c r="B25" s="45">
        <f t="shared" si="6"/>
        <v>103</v>
      </c>
      <c r="C25" s="87">
        <v>0.34</v>
      </c>
      <c r="D25" s="159">
        <v>0.41000000000000003</v>
      </c>
      <c r="E25" s="159">
        <v>0.31</v>
      </c>
      <c r="G25" s="180"/>
      <c r="H25" s="37"/>
      <c r="I25" s="158"/>
      <c r="J25" s="158"/>
      <c r="K25" s="158"/>
    </row>
    <row r="26" spans="1:15">
      <c r="A26" s="90">
        <v>1</v>
      </c>
      <c r="B26" s="46">
        <v>201</v>
      </c>
      <c r="C26" s="70">
        <v>0.31</v>
      </c>
      <c r="D26" s="157">
        <v>0.3</v>
      </c>
      <c r="E26" s="157">
        <v>0.33</v>
      </c>
      <c r="G26" s="180"/>
      <c r="H26" s="37"/>
      <c r="I26" s="158"/>
      <c r="J26" s="158"/>
      <c r="K26" s="158"/>
    </row>
    <row r="27" spans="1:15">
      <c r="A27" s="91">
        <v>2</v>
      </c>
      <c r="B27" s="45">
        <f>B26</f>
        <v>201</v>
      </c>
      <c r="C27" s="87">
        <v>0.42</v>
      </c>
      <c r="D27" s="159">
        <v>0.28999999999999998</v>
      </c>
      <c r="E27" s="159">
        <v>0.35</v>
      </c>
      <c r="G27" s="180"/>
      <c r="H27" s="37"/>
      <c r="I27" s="158"/>
      <c r="J27" s="158"/>
      <c r="K27" s="158"/>
    </row>
    <row r="28" spans="1:15">
      <c r="A28" s="91">
        <v>3</v>
      </c>
      <c r="B28" s="45">
        <f t="shared" ref="B28:B32" si="7">B27</f>
        <v>201</v>
      </c>
      <c r="C28" s="87">
        <v>0.36</v>
      </c>
      <c r="D28" s="159">
        <v>0.28999999999999998</v>
      </c>
      <c r="E28" s="159">
        <v>0.28999999999999998</v>
      </c>
      <c r="G28" s="180"/>
      <c r="H28" s="37"/>
      <c r="I28" s="158"/>
      <c r="J28" s="158"/>
      <c r="K28" s="158"/>
    </row>
    <row r="29" spans="1:15">
      <c r="A29" s="91">
        <v>4</v>
      </c>
      <c r="B29" s="45">
        <f t="shared" si="7"/>
        <v>201</v>
      </c>
      <c r="C29" s="87">
        <v>0.42</v>
      </c>
      <c r="D29" s="159">
        <v>0.3</v>
      </c>
      <c r="E29" s="159">
        <v>0.37</v>
      </c>
      <c r="G29" s="180"/>
      <c r="H29" s="37"/>
      <c r="I29" s="158"/>
      <c r="J29" s="158"/>
      <c r="K29" s="158"/>
      <c r="M29" s="383"/>
      <c r="N29" s="383"/>
    </row>
    <row r="30" spans="1:15">
      <c r="A30" s="91">
        <v>5</v>
      </c>
      <c r="B30" s="45">
        <f t="shared" si="7"/>
        <v>201</v>
      </c>
      <c r="C30" s="87">
        <v>0.23</v>
      </c>
      <c r="D30" s="159">
        <v>0.28999999999999998</v>
      </c>
      <c r="E30" s="159">
        <v>0.31</v>
      </c>
      <c r="G30" s="180"/>
      <c r="H30" s="37"/>
      <c r="I30" s="158"/>
      <c r="J30" s="158"/>
      <c r="K30" s="158"/>
      <c r="L30" s="184"/>
      <c r="M30" s="183"/>
      <c r="N30" s="183"/>
      <c r="O30" s="183"/>
    </row>
    <row r="31" spans="1:15">
      <c r="A31" s="91">
        <v>6</v>
      </c>
      <c r="B31" s="45">
        <f t="shared" si="7"/>
        <v>201</v>
      </c>
      <c r="C31" s="87">
        <v>0.43</v>
      </c>
      <c r="D31" s="159">
        <v>0.28999999999999998</v>
      </c>
      <c r="E31" s="159">
        <v>0.3</v>
      </c>
      <c r="G31" s="180"/>
      <c r="H31" s="37"/>
      <c r="I31" s="158"/>
      <c r="J31" s="158"/>
      <c r="K31" s="158"/>
    </row>
    <row r="32" spans="1:15" ht="15.75" thickBot="1">
      <c r="A32" s="91">
        <v>7</v>
      </c>
      <c r="B32" s="45">
        <f t="shared" si="7"/>
        <v>201</v>
      </c>
      <c r="C32" s="87">
        <v>0.31</v>
      </c>
      <c r="D32" s="159">
        <v>0.28999999999999998</v>
      </c>
      <c r="E32" s="159">
        <v>0.31</v>
      </c>
      <c r="G32" s="180"/>
      <c r="H32" s="37"/>
      <c r="I32" s="158"/>
      <c r="J32" s="158"/>
      <c r="K32" s="158"/>
    </row>
    <row r="33" spans="1:16">
      <c r="A33" s="90">
        <v>1</v>
      </c>
      <c r="B33" s="46">
        <v>202</v>
      </c>
      <c r="C33" s="70">
        <v>0.55000000000000004</v>
      </c>
      <c r="D33" s="157">
        <v>0.4</v>
      </c>
      <c r="E33" s="157">
        <v>0.39</v>
      </c>
    </row>
    <row r="34" spans="1:16">
      <c r="A34" s="91">
        <v>2</v>
      </c>
      <c r="B34" s="45">
        <f>B33</f>
        <v>202</v>
      </c>
      <c r="C34" s="87">
        <v>0.32</v>
      </c>
      <c r="D34" s="159">
        <v>0.34</v>
      </c>
      <c r="E34" s="159">
        <v>0.48</v>
      </c>
    </row>
    <row r="35" spans="1:16">
      <c r="A35" s="91">
        <v>3</v>
      </c>
      <c r="B35" s="45">
        <f t="shared" ref="B35:B39" si="8">B34</f>
        <v>202</v>
      </c>
      <c r="C35" s="87">
        <v>0.27</v>
      </c>
      <c r="D35" s="159">
        <v>0.34</v>
      </c>
      <c r="E35" s="159">
        <v>0.49</v>
      </c>
    </row>
    <row r="36" spans="1:16">
      <c r="A36" s="91">
        <v>4</v>
      </c>
      <c r="B36" s="45">
        <f t="shared" si="8"/>
        <v>202</v>
      </c>
      <c r="C36" s="87">
        <v>0.25</v>
      </c>
      <c r="D36" s="159">
        <v>0.34</v>
      </c>
      <c r="E36" s="159">
        <v>0.32</v>
      </c>
      <c r="M36" s="183"/>
      <c r="N36" s="183"/>
      <c r="O36" s="183"/>
      <c r="P36" s="183"/>
    </row>
    <row r="37" spans="1:16">
      <c r="A37" s="91">
        <v>5</v>
      </c>
      <c r="B37" s="45">
        <f t="shared" si="8"/>
        <v>202</v>
      </c>
      <c r="C37" s="87">
        <v>0.3</v>
      </c>
      <c r="D37" s="159">
        <v>0.35000000000000003</v>
      </c>
      <c r="E37" s="159">
        <v>0.37</v>
      </c>
      <c r="M37" s="183"/>
      <c r="N37" s="183"/>
      <c r="O37" s="183"/>
      <c r="P37" s="183"/>
    </row>
    <row r="38" spans="1:16">
      <c r="A38" s="91">
        <v>6</v>
      </c>
      <c r="B38" s="45">
        <f t="shared" si="8"/>
        <v>202</v>
      </c>
      <c r="C38" s="87">
        <v>0.24</v>
      </c>
      <c r="D38" s="159">
        <v>0.4</v>
      </c>
      <c r="E38" s="159">
        <v>0.4</v>
      </c>
    </row>
    <row r="39" spans="1:16" ht="15.75" thickBot="1">
      <c r="A39" s="91">
        <v>7</v>
      </c>
      <c r="B39" s="45">
        <f t="shared" si="8"/>
        <v>202</v>
      </c>
      <c r="C39" s="87">
        <v>0.2</v>
      </c>
      <c r="D39" s="159">
        <v>0.43</v>
      </c>
      <c r="E39" s="159">
        <v>0.45</v>
      </c>
    </row>
    <row r="40" spans="1:16">
      <c r="A40" s="90">
        <v>1</v>
      </c>
      <c r="B40" s="46">
        <v>203</v>
      </c>
      <c r="C40" s="70">
        <v>0.24</v>
      </c>
      <c r="D40" s="157">
        <v>0.31</v>
      </c>
      <c r="E40" s="157">
        <v>0.35</v>
      </c>
    </row>
    <row r="41" spans="1:16">
      <c r="A41" s="91">
        <v>2</v>
      </c>
      <c r="B41" s="45">
        <f t="shared" ref="B41:B46" si="9">B40</f>
        <v>203</v>
      </c>
      <c r="C41" s="87">
        <v>0.19</v>
      </c>
      <c r="D41" s="159">
        <v>0.27</v>
      </c>
      <c r="E41" s="159">
        <v>0.36</v>
      </c>
    </row>
    <row r="42" spans="1:16">
      <c r="A42" s="91">
        <v>3</v>
      </c>
      <c r="B42" s="45">
        <f t="shared" si="9"/>
        <v>203</v>
      </c>
      <c r="C42" s="87">
        <v>0.32</v>
      </c>
      <c r="D42" s="159">
        <v>0.31</v>
      </c>
      <c r="E42" s="159">
        <v>0.37</v>
      </c>
    </row>
    <row r="43" spans="1:16" ht="18.75">
      <c r="A43" s="91">
        <v>4</v>
      </c>
      <c r="B43" s="45">
        <f t="shared" si="9"/>
        <v>203</v>
      </c>
      <c r="C43" s="87">
        <v>0.22</v>
      </c>
      <c r="D43" s="159">
        <v>0.34</v>
      </c>
      <c r="E43" s="159">
        <v>0.43</v>
      </c>
      <c r="M43" s="303"/>
      <c r="N43" s="303"/>
      <c r="P43" s="44"/>
    </row>
    <row r="44" spans="1:16">
      <c r="A44" s="91">
        <v>5</v>
      </c>
      <c r="B44" s="45">
        <f t="shared" si="9"/>
        <v>203</v>
      </c>
      <c r="C44" s="87">
        <v>0.28000000000000003</v>
      </c>
      <c r="D44" s="159">
        <v>0.28000000000000003</v>
      </c>
      <c r="E44" s="159">
        <v>0.39</v>
      </c>
    </row>
    <row r="45" spans="1:16">
      <c r="A45" s="91">
        <v>6</v>
      </c>
      <c r="B45" s="45">
        <f t="shared" si="9"/>
        <v>203</v>
      </c>
      <c r="C45" s="87">
        <v>0.31</v>
      </c>
      <c r="D45" s="159">
        <v>0.3</v>
      </c>
      <c r="E45" s="159">
        <v>0.45</v>
      </c>
    </row>
    <row r="46" spans="1:16" ht="15.75" thickBot="1">
      <c r="A46" s="91">
        <v>7</v>
      </c>
      <c r="B46" s="45">
        <f t="shared" si="9"/>
        <v>203</v>
      </c>
      <c r="C46" s="87">
        <v>0.28999999999999998</v>
      </c>
      <c r="D46" s="159">
        <v>0.28000000000000003</v>
      </c>
      <c r="E46" s="159">
        <v>0.41</v>
      </c>
    </row>
    <row r="47" spans="1:16">
      <c r="A47" s="39">
        <v>1</v>
      </c>
      <c r="B47" s="46">
        <v>301</v>
      </c>
      <c r="C47" s="70">
        <v>0.44</v>
      </c>
      <c r="D47" s="157">
        <v>0.34</v>
      </c>
      <c r="E47" s="157">
        <v>0.59</v>
      </c>
    </row>
    <row r="48" spans="1:16">
      <c r="A48" s="38">
        <v>2</v>
      </c>
      <c r="B48" s="45">
        <f>B47</f>
        <v>301</v>
      </c>
      <c r="C48" s="87">
        <v>0.5</v>
      </c>
      <c r="D48" s="159">
        <v>0.32</v>
      </c>
      <c r="E48" s="159">
        <v>0.54</v>
      </c>
    </row>
    <row r="49" spans="1:5">
      <c r="A49" s="38">
        <v>3</v>
      </c>
      <c r="B49" s="45">
        <f t="shared" ref="B49:B53" si="10">B48</f>
        <v>301</v>
      </c>
      <c r="C49" s="87">
        <v>0.41</v>
      </c>
      <c r="D49" s="159">
        <v>0.34</v>
      </c>
      <c r="E49" s="159">
        <v>0.51</v>
      </c>
    </row>
    <row r="50" spans="1:5">
      <c r="A50" s="38">
        <v>4</v>
      </c>
      <c r="B50" s="45">
        <f t="shared" si="10"/>
        <v>301</v>
      </c>
      <c r="C50" s="87">
        <v>0.45</v>
      </c>
      <c r="D50" s="159">
        <v>0.31</v>
      </c>
      <c r="E50" s="159">
        <v>0.48</v>
      </c>
    </row>
    <row r="51" spans="1:5">
      <c r="A51" s="38">
        <v>5</v>
      </c>
      <c r="B51" s="45">
        <f t="shared" si="10"/>
        <v>301</v>
      </c>
      <c r="C51" s="87">
        <v>0.45</v>
      </c>
      <c r="D51" s="159">
        <v>0.33</v>
      </c>
      <c r="E51" s="159">
        <v>0.45</v>
      </c>
    </row>
    <row r="52" spans="1:5">
      <c r="A52" s="38">
        <v>6</v>
      </c>
      <c r="B52" s="45">
        <f t="shared" si="10"/>
        <v>301</v>
      </c>
      <c r="C52" s="87">
        <v>0.44</v>
      </c>
      <c r="D52" s="159">
        <v>0.32</v>
      </c>
      <c r="E52" s="159">
        <v>0.39</v>
      </c>
    </row>
    <row r="53" spans="1:5" ht="15.75" thickBot="1">
      <c r="A53" s="38">
        <v>7</v>
      </c>
      <c r="B53" s="45">
        <f t="shared" si="10"/>
        <v>301</v>
      </c>
      <c r="C53" s="87">
        <v>0.45</v>
      </c>
      <c r="D53" s="159">
        <v>0.36</v>
      </c>
      <c r="E53" s="159">
        <v>0.48</v>
      </c>
    </row>
    <row r="54" spans="1:5">
      <c r="A54" s="39">
        <v>1</v>
      </c>
      <c r="B54" s="46">
        <v>302</v>
      </c>
      <c r="C54" s="70">
        <v>0.26</v>
      </c>
      <c r="D54" s="157">
        <v>0.34</v>
      </c>
      <c r="E54" s="157">
        <v>0.42</v>
      </c>
    </row>
    <row r="55" spans="1:5">
      <c r="A55" s="38">
        <v>2</v>
      </c>
      <c r="B55" s="45">
        <f>B54</f>
        <v>302</v>
      </c>
      <c r="C55" s="87">
        <v>0.25</v>
      </c>
      <c r="D55" s="159">
        <v>0.34</v>
      </c>
      <c r="E55" s="159">
        <v>0.45</v>
      </c>
    </row>
    <row r="56" spans="1:5">
      <c r="A56" s="38">
        <v>3</v>
      </c>
      <c r="B56" s="45">
        <f t="shared" ref="B56:B60" si="11">B55</f>
        <v>302</v>
      </c>
      <c r="C56" s="87">
        <v>0.34</v>
      </c>
      <c r="D56" s="159">
        <v>0.34</v>
      </c>
      <c r="E56" s="159">
        <v>0.31</v>
      </c>
    </row>
    <row r="57" spans="1:5">
      <c r="A57" s="38">
        <v>4</v>
      </c>
      <c r="B57" s="45">
        <f t="shared" si="11"/>
        <v>302</v>
      </c>
      <c r="C57" s="87">
        <v>0.35</v>
      </c>
      <c r="D57" s="159">
        <v>0.34</v>
      </c>
      <c r="E57" s="159">
        <v>0.32</v>
      </c>
    </row>
    <row r="58" spans="1:5">
      <c r="A58" s="38">
        <v>5</v>
      </c>
      <c r="B58" s="45">
        <f t="shared" si="11"/>
        <v>302</v>
      </c>
      <c r="C58" s="87">
        <v>0.28999999999999998</v>
      </c>
      <c r="D58" s="159">
        <v>0.34</v>
      </c>
      <c r="E58" s="159">
        <v>0.49</v>
      </c>
    </row>
    <row r="59" spans="1:5">
      <c r="A59" s="38">
        <v>6</v>
      </c>
      <c r="B59" s="45">
        <f t="shared" si="11"/>
        <v>302</v>
      </c>
      <c r="C59" s="87">
        <v>0.34</v>
      </c>
      <c r="D59" s="159">
        <v>0.34</v>
      </c>
      <c r="E59" s="159">
        <v>0.36</v>
      </c>
    </row>
    <row r="60" spans="1:5" ht="15.75" thickBot="1">
      <c r="A60" s="38">
        <v>7</v>
      </c>
      <c r="B60" s="45">
        <f t="shared" si="11"/>
        <v>302</v>
      </c>
      <c r="C60" s="87">
        <v>0.27</v>
      </c>
      <c r="D60" s="159">
        <v>0.34</v>
      </c>
      <c r="E60" s="159">
        <v>0.36</v>
      </c>
    </row>
    <row r="61" spans="1:5">
      <c r="A61" s="39">
        <v>1</v>
      </c>
      <c r="B61" s="46">
        <v>303</v>
      </c>
      <c r="C61" s="70">
        <v>0.51</v>
      </c>
      <c r="D61" s="157">
        <v>0.3</v>
      </c>
      <c r="E61" s="157">
        <v>0.48</v>
      </c>
    </row>
    <row r="62" spans="1:5">
      <c r="A62" s="38">
        <v>2</v>
      </c>
      <c r="B62" s="45">
        <f t="shared" ref="B62:B67" si="12">B61</f>
        <v>303</v>
      </c>
      <c r="C62" s="87">
        <v>0.44</v>
      </c>
      <c r="D62" s="159">
        <v>0.43</v>
      </c>
      <c r="E62" s="159">
        <v>0.53</v>
      </c>
    </row>
    <row r="63" spans="1:5">
      <c r="A63" s="38">
        <v>3</v>
      </c>
      <c r="B63" s="45">
        <f t="shared" si="12"/>
        <v>303</v>
      </c>
      <c r="C63" s="87">
        <v>0.47</v>
      </c>
      <c r="D63" s="159">
        <v>0.32</v>
      </c>
      <c r="E63" s="159">
        <v>0.54</v>
      </c>
    </row>
    <row r="64" spans="1:5">
      <c r="A64" s="38">
        <v>4</v>
      </c>
      <c r="B64" s="45">
        <f t="shared" si="12"/>
        <v>303</v>
      </c>
      <c r="C64" s="87">
        <v>0.48</v>
      </c>
      <c r="D64" s="159">
        <v>0.32</v>
      </c>
      <c r="E64" s="159">
        <v>0.51</v>
      </c>
    </row>
    <row r="65" spans="1:5">
      <c r="A65" s="38">
        <v>5</v>
      </c>
      <c r="B65" s="45">
        <f t="shared" si="12"/>
        <v>303</v>
      </c>
      <c r="C65" s="87">
        <v>0.48</v>
      </c>
      <c r="D65" s="159">
        <v>0.42</v>
      </c>
      <c r="E65" s="159">
        <v>0.52</v>
      </c>
    </row>
    <row r="66" spans="1:5">
      <c r="A66" s="38">
        <v>6</v>
      </c>
      <c r="B66" s="45">
        <f t="shared" si="12"/>
        <v>303</v>
      </c>
      <c r="C66" s="87">
        <v>0.44</v>
      </c>
      <c r="D66" s="159">
        <v>0.43</v>
      </c>
      <c r="E66" s="159">
        <v>0.59</v>
      </c>
    </row>
    <row r="67" spans="1:5" ht="15.75" thickBot="1">
      <c r="A67" s="38">
        <v>7</v>
      </c>
      <c r="B67" s="45">
        <f t="shared" si="12"/>
        <v>303</v>
      </c>
      <c r="C67" s="87">
        <v>0.49</v>
      </c>
      <c r="D67" s="159">
        <v>0.51</v>
      </c>
      <c r="E67" s="159">
        <v>0.51</v>
      </c>
    </row>
    <row r="68" spans="1:5">
      <c r="A68" s="90">
        <v>1</v>
      </c>
      <c r="B68" s="46">
        <v>401</v>
      </c>
      <c r="C68" s="70">
        <v>0.34</v>
      </c>
      <c r="D68" s="157">
        <v>0.32</v>
      </c>
      <c r="E68" s="157">
        <v>0.4</v>
      </c>
    </row>
    <row r="69" spans="1:5">
      <c r="A69" s="91">
        <v>2</v>
      </c>
      <c r="B69" s="45">
        <f>B68</f>
        <v>401</v>
      </c>
      <c r="C69" s="87">
        <v>0.34</v>
      </c>
      <c r="D69" s="159">
        <v>0.35</v>
      </c>
      <c r="E69" s="159">
        <v>0.38</v>
      </c>
    </row>
    <row r="70" spans="1:5">
      <c r="A70" s="91">
        <v>3</v>
      </c>
      <c r="B70" s="45">
        <f t="shared" ref="B70:B74" si="13">B69</f>
        <v>401</v>
      </c>
      <c r="C70" s="87">
        <v>0.42</v>
      </c>
      <c r="D70" s="159">
        <v>0.3</v>
      </c>
      <c r="E70" s="159">
        <v>0.39</v>
      </c>
    </row>
    <row r="71" spans="1:5">
      <c r="A71" s="91">
        <v>4</v>
      </c>
      <c r="B71" s="45">
        <f t="shared" si="13"/>
        <v>401</v>
      </c>
      <c r="C71" s="87">
        <v>0.36</v>
      </c>
      <c r="D71" s="159">
        <v>0.32</v>
      </c>
      <c r="E71" s="159">
        <v>0.35</v>
      </c>
    </row>
    <row r="72" spans="1:5">
      <c r="A72" s="91">
        <v>5</v>
      </c>
      <c r="B72" s="45">
        <f t="shared" si="13"/>
        <v>401</v>
      </c>
      <c r="C72" s="87">
        <v>0.41000000000000003</v>
      </c>
      <c r="D72" s="159">
        <v>0.37</v>
      </c>
      <c r="E72" s="159">
        <v>0.28000000000000003</v>
      </c>
    </row>
    <row r="73" spans="1:5">
      <c r="A73" s="91">
        <v>6</v>
      </c>
      <c r="B73" s="45">
        <f t="shared" si="13"/>
        <v>401</v>
      </c>
      <c r="C73" s="87">
        <v>0.31</v>
      </c>
      <c r="D73" s="159">
        <v>0.36</v>
      </c>
      <c r="E73" s="159">
        <v>0.51</v>
      </c>
    </row>
    <row r="74" spans="1:5" ht="15.75" thickBot="1">
      <c r="A74" s="91">
        <v>7</v>
      </c>
      <c r="B74" s="45">
        <f t="shared" si="13"/>
        <v>401</v>
      </c>
      <c r="C74" s="87">
        <v>0.36</v>
      </c>
      <c r="D74" s="159">
        <v>0.34</v>
      </c>
      <c r="E74" s="159">
        <v>0.35</v>
      </c>
    </row>
    <row r="75" spans="1:5">
      <c r="A75" s="90">
        <v>1</v>
      </c>
      <c r="B75" s="46">
        <v>402</v>
      </c>
      <c r="C75" s="70">
        <v>0.33</v>
      </c>
      <c r="D75" s="157">
        <v>0.32</v>
      </c>
      <c r="E75" s="157">
        <v>0.43</v>
      </c>
    </row>
    <row r="76" spans="1:5">
      <c r="A76" s="91">
        <v>2</v>
      </c>
      <c r="B76" s="45">
        <f>B75</f>
        <v>402</v>
      </c>
      <c r="C76" s="87">
        <v>0.3</v>
      </c>
      <c r="D76" s="159">
        <v>0.28999999999999998</v>
      </c>
      <c r="E76" s="159">
        <v>0.38</v>
      </c>
    </row>
    <row r="77" spans="1:5">
      <c r="A77" s="91">
        <v>3</v>
      </c>
      <c r="B77" s="45">
        <f t="shared" ref="B77:B81" si="14">B76</f>
        <v>402</v>
      </c>
      <c r="C77" s="87">
        <v>0.33</v>
      </c>
      <c r="D77" s="159">
        <v>0.28000000000000003</v>
      </c>
      <c r="E77" s="159">
        <v>0.45</v>
      </c>
    </row>
    <row r="78" spans="1:5">
      <c r="A78" s="91">
        <v>4</v>
      </c>
      <c r="B78" s="45">
        <f t="shared" si="14"/>
        <v>402</v>
      </c>
      <c r="C78" s="87">
        <v>0.37</v>
      </c>
      <c r="D78" s="159">
        <v>0.31</v>
      </c>
      <c r="E78" s="159">
        <v>0.44</v>
      </c>
    </row>
    <row r="79" spans="1:5">
      <c r="A79" s="91">
        <v>5</v>
      </c>
      <c r="B79" s="45">
        <f t="shared" si="14"/>
        <v>402</v>
      </c>
      <c r="C79" s="87">
        <v>0.36</v>
      </c>
      <c r="D79" s="159">
        <v>0.33</v>
      </c>
      <c r="E79" s="159">
        <v>0.28999999999999998</v>
      </c>
    </row>
    <row r="80" spans="1:5">
      <c r="A80" s="91">
        <v>6</v>
      </c>
      <c r="B80" s="45">
        <f t="shared" si="14"/>
        <v>402</v>
      </c>
      <c r="C80" s="87">
        <v>0.36</v>
      </c>
      <c r="D80" s="159">
        <v>0.32</v>
      </c>
      <c r="E80" s="159">
        <v>0.42</v>
      </c>
    </row>
    <row r="81" spans="1:5" ht="15.75" thickBot="1">
      <c r="A81" s="91">
        <v>7</v>
      </c>
      <c r="B81" s="45">
        <f t="shared" si="14"/>
        <v>402</v>
      </c>
      <c r="C81" s="87">
        <v>0.34</v>
      </c>
      <c r="D81" s="159">
        <v>0.28000000000000003</v>
      </c>
      <c r="E81" s="159">
        <v>0.35</v>
      </c>
    </row>
    <row r="82" spans="1:5">
      <c r="A82" s="90">
        <v>1</v>
      </c>
      <c r="B82" s="46">
        <v>403</v>
      </c>
      <c r="C82" s="173">
        <v>0.4</v>
      </c>
      <c r="D82" s="177">
        <v>0.28000000000000003</v>
      </c>
      <c r="E82" s="161">
        <v>0.48</v>
      </c>
    </row>
    <row r="83" spans="1:5">
      <c r="A83" s="91">
        <v>2</v>
      </c>
      <c r="B83" s="45">
        <f t="shared" ref="B83:B88" si="15">B82</f>
        <v>403</v>
      </c>
      <c r="C83" s="174">
        <v>0.48</v>
      </c>
      <c r="D83" s="178">
        <v>0.3</v>
      </c>
      <c r="E83" s="162">
        <v>0.45</v>
      </c>
    </row>
    <row r="84" spans="1:5">
      <c r="A84" s="91">
        <v>3</v>
      </c>
      <c r="B84" s="45">
        <f t="shared" si="15"/>
        <v>403</v>
      </c>
      <c r="C84" s="174">
        <v>0.34</v>
      </c>
      <c r="D84" s="178">
        <v>0.28000000000000003</v>
      </c>
      <c r="E84" s="162">
        <v>0.33</v>
      </c>
    </row>
    <row r="85" spans="1:5">
      <c r="A85" s="91">
        <v>4</v>
      </c>
      <c r="B85" s="45">
        <f t="shared" si="15"/>
        <v>403</v>
      </c>
      <c r="C85" s="174">
        <v>0.3</v>
      </c>
      <c r="D85" s="178">
        <v>0.3</v>
      </c>
      <c r="E85" s="162">
        <v>0.32</v>
      </c>
    </row>
    <row r="86" spans="1:5">
      <c r="A86" s="91">
        <v>5</v>
      </c>
      <c r="B86" s="45">
        <f t="shared" si="15"/>
        <v>403</v>
      </c>
      <c r="C86" s="174">
        <v>0.55000000000000004</v>
      </c>
      <c r="D86" s="178">
        <v>0.28000000000000003</v>
      </c>
      <c r="E86" s="162">
        <v>0.47</v>
      </c>
    </row>
    <row r="87" spans="1:5">
      <c r="A87" s="91">
        <v>6</v>
      </c>
      <c r="B87" s="45">
        <f t="shared" si="15"/>
        <v>403</v>
      </c>
      <c r="C87" s="174">
        <v>0.33</v>
      </c>
      <c r="D87" s="178">
        <v>0.27</v>
      </c>
      <c r="E87" s="162">
        <v>0.41</v>
      </c>
    </row>
    <row r="88" spans="1:5" ht="15.75" thickBot="1">
      <c r="A88" s="281">
        <v>7</v>
      </c>
      <c r="B88" s="232">
        <f t="shared" si="15"/>
        <v>403</v>
      </c>
      <c r="C88" s="175">
        <v>0.36</v>
      </c>
      <c r="D88" s="179">
        <v>0.32</v>
      </c>
      <c r="E88" s="163">
        <v>0.46</v>
      </c>
    </row>
    <row r="89" spans="1:5">
      <c r="D89" s="40"/>
      <c r="E89" s="40"/>
    </row>
    <row r="90" spans="1:5">
      <c r="D90" s="40"/>
      <c r="E90" s="40"/>
    </row>
    <row r="91" spans="1:5">
      <c r="D91" s="40"/>
      <c r="E91" s="40"/>
    </row>
    <row r="92" spans="1:5">
      <c r="D92" s="40"/>
      <c r="E92" s="40"/>
    </row>
    <row r="93" spans="1:5">
      <c r="D93" s="40"/>
      <c r="E93" s="40"/>
    </row>
    <row r="94" spans="1:5">
      <c r="D94" s="40"/>
      <c r="E94" s="40"/>
    </row>
    <row r="95" spans="1:5">
      <c r="D95" s="40"/>
      <c r="E95" s="40"/>
    </row>
    <row r="96" spans="1:5">
      <c r="D96" s="40"/>
      <c r="E96" s="40"/>
    </row>
    <row r="97" s="40" customFormat="1"/>
    <row r="98" s="40" customFormat="1"/>
    <row r="99" s="40" customFormat="1"/>
    <row r="100" s="40" customFormat="1"/>
    <row r="101" s="40" customFormat="1"/>
    <row r="102" s="40" customFormat="1"/>
    <row r="103" s="40" customFormat="1"/>
    <row r="104" s="40" customFormat="1"/>
    <row r="105" s="40" customFormat="1"/>
    <row r="106" s="40" customFormat="1"/>
    <row r="107" s="40" customFormat="1"/>
    <row r="108" s="40" customFormat="1"/>
    <row r="109" s="40" customFormat="1"/>
    <row r="110" s="40" customFormat="1"/>
    <row r="111" s="40" customFormat="1"/>
    <row r="112" s="40" customFormat="1"/>
    <row r="113" s="40" customFormat="1"/>
    <row r="114" s="40" customFormat="1"/>
    <row r="115" s="40" customFormat="1"/>
    <row r="116" s="40" customFormat="1"/>
    <row r="117" s="40" customFormat="1"/>
    <row r="118" s="40" customFormat="1"/>
    <row r="119" s="40" customFormat="1"/>
    <row r="120" s="40" customFormat="1"/>
    <row r="121" s="40" customFormat="1"/>
    <row r="122" s="40" customFormat="1"/>
    <row r="123" s="40" customFormat="1"/>
    <row r="124" s="40" customFormat="1"/>
    <row r="125" s="40" customFormat="1"/>
    <row r="126" s="40" customFormat="1"/>
    <row r="127" s="40" customFormat="1"/>
    <row r="128" s="40" customFormat="1"/>
    <row r="129" s="40" customFormat="1"/>
    <row r="130" s="40" customFormat="1"/>
    <row r="131" s="40" customFormat="1"/>
    <row r="132" s="40" customFormat="1"/>
    <row r="133" s="40" customFormat="1"/>
    <row r="134" s="40" customFormat="1"/>
    <row r="135" s="40" customFormat="1"/>
    <row r="136" s="40" customFormat="1"/>
    <row r="137" s="40" customFormat="1"/>
    <row r="138" s="40" customFormat="1"/>
    <row r="139" s="40" customFormat="1"/>
    <row r="140" s="40" customFormat="1"/>
    <row r="141" s="40" customFormat="1"/>
    <row r="142" s="40" customFormat="1"/>
    <row r="143" s="40" customFormat="1"/>
    <row r="144" s="40" customFormat="1"/>
    <row r="145" s="40" customFormat="1"/>
    <row r="146" s="40" customFormat="1"/>
  </sheetData>
  <mergeCells count="8">
    <mergeCell ref="M29:N29"/>
    <mergeCell ref="R2:T2"/>
    <mergeCell ref="G5:G8"/>
    <mergeCell ref="A2:D2"/>
    <mergeCell ref="G2:H2"/>
    <mergeCell ref="M2:N2"/>
    <mergeCell ref="G9:G12"/>
    <mergeCell ref="G13:G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A563-343A-4D82-B949-B0130C84B6AA}">
  <sheetPr codeName="Hoja6">
    <tabColor rgb="FF92D050"/>
  </sheetPr>
  <dimension ref="A1:AI88"/>
  <sheetViews>
    <sheetView topLeftCell="H1" zoomScaleNormal="100" workbookViewId="0">
      <selection activeCell="R15" sqref="R15"/>
    </sheetView>
  </sheetViews>
  <sheetFormatPr defaultColWidth="11.5703125" defaultRowHeight="15"/>
  <cols>
    <col min="1" max="1" width="35.5703125" style="40" customWidth="1"/>
    <col min="2" max="2" width="5.42578125" style="40" bestFit="1" customWidth="1"/>
    <col min="3" max="3" width="13" style="172" customWidth="1"/>
    <col min="4" max="4" width="12.5703125" style="40" customWidth="1"/>
    <col min="5" max="5" width="13.42578125" style="40" customWidth="1"/>
    <col min="6" max="8" width="11.5703125" style="40"/>
    <col min="9" max="9" width="9.7109375" style="40" customWidth="1"/>
    <col min="10" max="10" width="11.5703125" style="40"/>
    <col min="11" max="11" width="14.85546875" style="40" customWidth="1"/>
    <col min="12" max="19" width="11.5703125" style="40"/>
    <col min="20" max="21" width="15.140625" style="40" customWidth="1"/>
    <col min="22" max="16384" width="11.5703125" style="40"/>
  </cols>
  <sheetData>
    <row r="1" spans="1:35">
      <c r="A1" s="89"/>
      <c r="B1" s="89"/>
      <c r="C1" s="89"/>
      <c r="D1" s="89"/>
      <c r="E1" s="89"/>
    </row>
    <row r="2" spans="1:35" ht="15.75" thickBot="1">
      <c r="A2" s="382" t="s">
        <v>143</v>
      </c>
      <c r="B2" s="382"/>
      <c r="C2" s="186"/>
    </row>
    <row r="3" spans="1:35" ht="15.75" thickBot="1">
      <c r="C3" s="322">
        <v>45387</v>
      </c>
      <c r="D3" s="198">
        <v>45464</v>
      </c>
      <c r="E3" s="246">
        <v>45478</v>
      </c>
    </row>
    <row r="4" spans="1:35" ht="19.5" thickBot="1">
      <c r="A4" s="37"/>
      <c r="B4" s="321" t="s">
        <v>55</v>
      </c>
      <c r="C4" s="196" t="s">
        <v>140</v>
      </c>
      <c r="D4" s="197" t="s">
        <v>141</v>
      </c>
      <c r="E4" s="197" t="s">
        <v>31</v>
      </c>
      <c r="M4" s="44" t="s">
        <v>134</v>
      </c>
      <c r="R4" s="388" t="s">
        <v>144</v>
      </c>
      <c r="S4" s="388"/>
    </row>
    <row r="5" spans="1:35" ht="19.5" thickBot="1">
      <c r="A5" s="39">
        <v>1</v>
      </c>
      <c r="B5" s="46">
        <v>101</v>
      </c>
      <c r="C5" s="259">
        <v>124</v>
      </c>
      <c r="D5" s="209">
        <v>130</v>
      </c>
      <c r="E5" s="262">
        <v>136</v>
      </c>
      <c r="G5" s="389" t="s">
        <v>133</v>
      </c>
      <c r="H5" s="389"/>
      <c r="Q5" s="44"/>
    </row>
    <row r="6" spans="1:35" ht="15.75" thickBot="1">
      <c r="A6" s="38">
        <v>2</v>
      </c>
      <c r="B6" s="45">
        <f>B5</f>
        <v>101</v>
      </c>
      <c r="C6" s="260">
        <v>110</v>
      </c>
      <c r="D6" s="211">
        <v>115</v>
      </c>
      <c r="E6" s="263">
        <v>121</v>
      </c>
      <c r="I6" s="62"/>
      <c r="J6" s="62"/>
      <c r="K6" s="62"/>
      <c r="N6" s="358" t="s">
        <v>136</v>
      </c>
      <c r="O6" s="358" t="s">
        <v>137</v>
      </c>
      <c r="P6" s="359" t="s">
        <v>138</v>
      </c>
      <c r="S6" s="358" t="s">
        <v>136</v>
      </c>
      <c r="T6" s="358" t="s">
        <v>137</v>
      </c>
      <c r="U6" s="359" t="s">
        <v>138</v>
      </c>
    </row>
    <row r="7" spans="1:35" ht="15.75" thickBot="1">
      <c r="A7" s="38">
        <v>3</v>
      </c>
      <c r="B7" s="45">
        <f t="shared" ref="B7:B11" si="0">B6</f>
        <v>101</v>
      </c>
      <c r="C7" s="260">
        <v>112</v>
      </c>
      <c r="D7" s="211">
        <v>115</v>
      </c>
      <c r="E7" s="263">
        <v>120</v>
      </c>
      <c r="G7" s="37"/>
      <c r="H7" s="37"/>
      <c r="I7" s="320" t="str">
        <f>C4</f>
        <v>3E</v>
      </c>
      <c r="J7" s="33" t="str">
        <f>D4</f>
        <v>4E</v>
      </c>
      <c r="K7" s="33" t="str">
        <f>E4</f>
        <v>5E</v>
      </c>
      <c r="M7" s="181" t="s">
        <v>142</v>
      </c>
      <c r="N7" s="202">
        <f>AVERAGE(I8:I11)</f>
        <v>117.19142857142857</v>
      </c>
      <c r="O7" s="293">
        <f>AVERAGE(J8:J11)</f>
        <v>129.64285714285714</v>
      </c>
      <c r="P7" s="161">
        <f>AVERAGE(K8:K11)</f>
        <v>138.82142857142856</v>
      </c>
      <c r="R7" s="315" t="s">
        <v>43</v>
      </c>
      <c r="S7" s="304">
        <f t="shared" ref="S7:U8" si="1">N8*100/N$7-100</f>
        <v>5.657410342053268</v>
      </c>
      <c r="T7" s="296">
        <f t="shared" si="1"/>
        <v>4.3250688705234239</v>
      </c>
      <c r="U7" s="297">
        <f t="shared" si="1"/>
        <v>3.6488294314381307</v>
      </c>
    </row>
    <row r="8" spans="1:35" ht="15.75" thickBot="1">
      <c r="A8" s="38">
        <v>4</v>
      </c>
      <c r="B8" s="45">
        <f t="shared" si="0"/>
        <v>101</v>
      </c>
      <c r="C8" s="260">
        <v>100</v>
      </c>
      <c r="D8" s="211">
        <v>112</v>
      </c>
      <c r="E8" s="263">
        <v>120</v>
      </c>
      <c r="G8" s="385" t="s">
        <v>38</v>
      </c>
      <c r="H8" s="104">
        <v>101</v>
      </c>
      <c r="I8" s="93">
        <f t="shared" ref="I8:I19" si="2">AVERAGEIF(B:B,H8,C:C)</f>
        <v>106</v>
      </c>
      <c r="J8" s="93">
        <f t="shared" ref="J8:J19" si="3">AVERAGEIF(B:B,H8,D:D)</f>
        <v>112.85714285714286</v>
      </c>
      <c r="K8" s="94">
        <f t="shared" ref="K8:K19" si="4">AVERAGEIF(B:B,H8,E:E)</f>
        <v>122</v>
      </c>
      <c r="M8" s="182" t="s">
        <v>43</v>
      </c>
      <c r="N8" s="49">
        <f>AVERAGE(I12:I15)</f>
        <v>123.82142857142856</v>
      </c>
      <c r="O8" s="60">
        <f>AVERAGE(J12:J15)</f>
        <v>135.25</v>
      </c>
      <c r="P8" s="162">
        <f>AVERAGE(K12:K15)</f>
        <v>143.88678571428571</v>
      </c>
      <c r="R8" s="316" t="s">
        <v>47</v>
      </c>
      <c r="S8" s="59">
        <f t="shared" si="1"/>
        <v>2.2441914328205286</v>
      </c>
      <c r="T8" s="298">
        <f t="shared" si="1"/>
        <v>3.1955922865013946</v>
      </c>
      <c r="U8" s="99">
        <f t="shared" si="1"/>
        <v>1.2606122974015932</v>
      </c>
    </row>
    <row r="9" spans="1:35" ht="15.75" thickBot="1">
      <c r="A9" s="38">
        <v>5</v>
      </c>
      <c r="B9" s="45">
        <f t="shared" si="0"/>
        <v>101</v>
      </c>
      <c r="C9" s="260">
        <v>100</v>
      </c>
      <c r="D9" s="211">
        <v>110</v>
      </c>
      <c r="E9" s="263">
        <v>113</v>
      </c>
      <c r="G9" s="386"/>
      <c r="H9" s="109">
        <v>201</v>
      </c>
      <c r="I9" s="92">
        <f t="shared" si="2"/>
        <v>124.33714285714287</v>
      </c>
      <c r="J9" s="92">
        <f t="shared" si="3"/>
        <v>143.28571428571428</v>
      </c>
      <c r="K9" s="95">
        <f t="shared" si="4"/>
        <v>149</v>
      </c>
      <c r="M9" s="316" t="s">
        <v>47</v>
      </c>
      <c r="N9" s="50">
        <f>AVERAGE(I16:I19)</f>
        <v>119.82142857142857</v>
      </c>
      <c r="O9" s="61">
        <f>AVERAGE(J16:J19)</f>
        <v>133.78571428571431</v>
      </c>
      <c r="P9" s="163">
        <f>AVERAGE(K16:K19)</f>
        <v>140.57142857142856</v>
      </c>
    </row>
    <row r="10" spans="1:35">
      <c r="A10" s="38">
        <v>6</v>
      </c>
      <c r="B10" s="45">
        <f t="shared" si="0"/>
        <v>101</v>
      </c>
      <c r="C10" s="260">
        <v>89</v>
      </c>
      <c r="D10" s="211">
        <v>95</v>
      </c>
      <c r="E10" s="264">
        <v>122</v>
      </c>
      <c r="G10" s="386"/>
      <c r="H10" s="109">
        <v>303</v>
      </c>
      <c r="I10" s="92">
        <f t="shared" si="2"/>
        <v>127.71428571428571</v>
      </c>
      <c r="J10" s="92">
        <f t="shared" si="3"/>
        <v>139.42857142857142</v>
      </c>
      <c r="K10" s="95">
        <f t="shared" si="4"/>
        <v>146.57142857142858</v>
      </c>
      <c r="M10" s="180"/>
      <c r="N10" s="158"/>
      <c r="O10" s="158"/>
      <c r="P10" s="158"/>
      <c r="R10" s="158"/>
      <c r="S10" s="158"/>
      <c r="T10" s="158"/>
      <c r="U10" s="158"/>
      <c r="V10" s="158"/>
      <c r="W10" s="158"/>
      <c r="X10" s="158"/>
    </row>
    <row r="11" spans="1:35" ht="15.75" thickBot="1">
      <c r="A11" s="38">
        <v>7</v>
      </c>
      <c r="B11" s="45">
        <f t="shared" si="0"/>
        <v>101</v>
      </c>
      <c r="C11" s="261">
        <v>107</v>
      </c>
      <c r="D11" s="257">
        <v>113</v>
      </c>
      <c r="E11" s="265">
        <v>122</v>
      </c>
      <c r="G11" s="387"/>
      <c r="H11" s="247">
        <v>403</v>
      </c>
      <c r="I11" s="191">
        <f t="shared" si="2"/>
        <v>110.71428571428571</v>
      </c>
      <c r="J11" s="191">
        <f t="shared" si="3"/>
        <v>123</v>
      </c>
      <c r="K11" s="193">
        <f t="shared" si="4"/>
        <v>137.71428571428572</v>
      </c>
      <c r="M11" s="180"/>
      <c r="N11" s="158"/>
      <c r="O11" s="158"/>
      <c r="P11" s="158"/>
      <c r="R11" s="158"/>
      <c r="S11" s="158"/>
      <c r="T11" s="158"/>
      <c r="U11" s="158"/>
      <c r="V11" s="158"/>
      <c r="W11" s="158"/>
      <c r="X11" s="158"/>
    </row>
    <row r="12" spans="1:35">
      <c r="A12" s="39">
        <v>1</v>
      </c>
      <c r="B12" s="317">
        <v>102</v>
      </c>
      <c r="C12" s="258">
        <v>120</v>
      </c>
      <c r="D12" s="209">
        <v>135</v>
      </c>
      <c r="E12" s="209">
        <v>142</v>
      </c>
      <c r="G12" s="385" t="s">
        <v>42</v>
      </c>
      <c r="H12" s="249">
        <v>102</v>
      </c>
      <c r="I12" s="93">
        <f t="shared" si="2"/>
        <v>107.57142857142857</v>
      </c>
      <c r="J12" s="93">
        <f t="shared" si="3"/>
        <v>118.28571428571429</v>
      </c>
      <c r="K12" s="94">
        <f t="shared" si="4"/>
        <v>129.9757142857143</v>
      </c>
      <c r="M12" s="180"/>
      <c r="N12" s="158"/>
      <c r="O12" s="158"/>
      <c r="P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</row>
    <row r="13" spans="1:35">
      <c r="A13" s="38">
        <v>2</v>
      </c>
      <c r="B13" s="318">
        <f>B12</f>
        <v>102</v>
      </c>
      <c r="C13" s="258">
        <v>115</v>
      </c>
      <c r="D13" s="256">
        <v>120</v>
      </c>
      <c r="E13" s="211">
        <v>130</v>
      </c>
      <c r="G13" s="386"/>
      <c r="H13" s="250">
        <v>202</v>
      </c>
      <c r="I13" s="92">
        <f t="shared" si="2"/>
        <v>129.28571428571428</v>
      </c>
      <c r="J13" s="92">
        <f t="shared" si="3"/>
        <v>140.71428571428572</v>
      </c>
      <c r="K13" s="95">
        <f t="shared" si="4"/>
        <v>146</v>
      </c>
      <c r="M13" s="180"/>
      <c r="N13" s="158"/>
      <c r="O13" s="158"/>
      <c r="P13" s="158"/>
      <c r="T13" s="43"/>
      <c r="V13" s="43"/>
      <c r="W13" s="43"/>
      <c r="Y13" s="43"/>
      <c r="Z13" s="43"/>
      <c r="AB13" s="43"/>
      <c r="AC13" s="43"/>
    </row>
    <row r="14" spans="1:35">
      <c r="A14" s="38">
        <v>3</v>
      </c>
      <c r="B14" s="318">
        <f t="shared" ref="B14:B18" si="5">B13</f>
        <v>102</v>
      </c>
      <c r="C14" s="217">
        <v>114</v>
      </c>
      <c r="D14" s="211">
        <v>120</v>
      </c>
      <c r="E14" s="211">
        <v>125</v>
      </c>
      <c r="G14" s="386"/>
      <c r="H14" s="250">
        <v>302</v>
      </c>
      <c r="I14" s="92">
        <f t="shared" si="2"/>
        <v>111.57142857142857</v>
      </c>
      <c r="J14" s="92">
        <f t="shared" si="3"/>
        <v>125.71428571428571</v>
      </c>
      <c r="K14" s="95">
        <f t="shared" si="4"/>
        <v>129.57142857142858</v>
      </c>
    </row>
    <row r="15" spans="1:35" ht="15.75" thickBot="1">
      <c r="A15" s="38">
        <v>4</v>
      </c>
      <c r="B15" s="318">
        <f t="shared" si="5"/>
        <v>102</v>
      </c>
      <c r="C15" s="217">
        <v>107</v>
      </c>
      <c r="D15" s="211">
        <v>118</v>
      </c>
      <c r="E15" s="211">
        <v>122.83</v>
      </c>
      <c r="G15" s="387"/>
      <c r="H15" s="251">
        <v>402</v>
      </c>
      <c r="I15" s="96">
        <f t="shared" si="2"/>
        <v>146.85714285714286</v>
      </c>
      <c r="J15" s="96">
        <f t="shared" si="3"/>
        <v>156.28571428571428</v>
      </c>
      <c r="K15" s="97">
        <f t="shared" si="4"/>
        <v>170</v>
      </c>
    </row>
    <row r="16" spans="1:35">
      <c r="A16" s="38">
        <v>5</v>
      </c>
      <c r="B16" s="318">
        <f t="shared" si="5"/>
        <v>102</v>
      </c>
      <c r="C16" s="217">
        <v>105</v>
      </c>
      <c r="D16" s="211">
        <v>115</v>
      </c>
      <c r="E16" s="211">
        <v>141</v>
      </c>
      <c r="G16" s="385" t="s">
        <v>46</v>
      </c>
      <c r="H16" s="248">
        <v>103</v>
      </c>
      <c r="I16" s="192">
        <f t="shared" si="2"/>
        <v>116.57142857142857</v>
      </c>
      <c r="J16" s="192">
        <f t="shared" si="3"/>
        <v>137.57142857142858</v>
      </c>
      <c r="K16" s="194">
        <f t="shared" si="4"/>
        <v>137.71428571428572</v>
      </c>
    </row>
    <row r="17" spans="1:11">
      <c r="A17" s="38">
        <v>6</v>
      </c>
      <c r="B17" s="318">
        <f t="shared" si="5"/>
        <v>102</v>
      </c>
      <c r="C17" s="217">
        <v>100</v>
      </c>
      <c r="D17" s="211">
        <v>110</v>
      </c>
      <c r="E17" s="211">
        <v>121</v>
      </c>
      <c r="G17" s="386"/>
      <c r="H17" s="109">
        <v>203</v>
      </c>
      <c r="I17" s="92">
        <f t="shared" si="2"/>
        <v>107.42857142857143</v>
      </c>
      <c r="J17" s="92">
        <f t="shared" si="3"/>
        <v>123.57142857142857</v>
      </c>
      <c r="K17" s="95">
        <f t="shared" si="4"/>
        <v>129.42857142857142</v>
      </c>
    </row>
    <row r="18" spans="1:11" ht="15.75" thickBot="1">
      <c r="A18" s="38">
        <v>7</v>
      </c>
      <c r="B18" s="319">
        <f t="shared" si="5"/>
        <v>102</v>
      </c>
      <c r="C18" s="217">
        <v>92</v>
      </c>
      <c r="D18" s="211">
        <v>110</v>
      </c>
      <c r="E18" s="266">
        <v>128</v>
      </c>
      <c r="G18" s="386"/>
      <c r="H18" s="109">
        <v>301</v>
      </c>
      <c r="I18" s="92">
        <f t="shared" si="2"/>
        <v>131.71428571428572</v>
      </c>
      <c r="J18" s="92">
        <f t="shared" si="3"/>
        <v>140.14285714285714</v>
      </c>
      <c r="K18" s="95">
        <f t="shared" si="4"/>
        <v>150.57142857142858</v>
      </c>
    </row>
    <row r="19" spans="1:11" ht="15.75" thickBot="1">
      <c r="A19" s="39">
        <v>1</v>
      </c>
      <c r="B19" s="46">
        <v>103</v>
      </c>
      <c r="C19" s="208">
        <v>143</v>
      </c>
      <c r="D19" s="209">
        <v>150</v>
      </c>
      <c r="E19" s="209">
        <v>175</v>
      </c>
      <c r="G19" s="387"/>
      <c r="H19" s="153">
        <v>401</v>
      </c>
      <c r="I19" s="96">
        <f t="shared" si="2"/>
        <v>123.57142857142857</v>
      </c>
      <c r="J19" s="96">
        <f t="shared" si="3"/>
        <v>133.85714285714286</v>
      </c>
      <c r="K19" s="97">
        <f t="shared" si="4"/>
        <v>144.57142857142858</v>
      </c>
    </row>
    <row r="20" spans="1:11">
      <c r="A20" s="38">
        <v>2</v>
      </c>
      <c r="B20" s="45">
        <f>B19</f>
        <v>103</v>
      </c>
      <c r="C20" s="210">
        <v>127</v>
      </c>
      <c r="D20" s="211">
        <v>150</v>
      </c>
      <c r="E20" s="256">
        <v>137</v>
      </c>
      <c r="G20" s="180"/>
      <c r="H20" s="37"/>
      <c r="I20" s="158"/>
      <c r="J20" s="158"/>
      <c r="K20" s="158"/>
    </row>
    <row r="21" spans="1:11">
      <c r="A21" s="38">
        <v>3</v>
      </c>
      <c r="B21" s="45">
        <f t="shared" ref="B21:B25" si="6">B20</f>
        <v>103</v>
      </c>
      <c r="C21" s="210">
        <v>119</v>
      </c>
      <c r="D21" s="211">
        <v>145</v>
      </c>
      <c r="E21" s="211">
        <v>135</v>
      </c>
      <c r="G21" s="180"/>
      <c r="H21" s="37"/>
      <c r="I21" s="158"/>
      <c r="J21" s="158"/>
      <c r="K21" s="158"/>
    </row>
    <row r="22" spans="1:11">
      <c r="A22" s="38">
        <v>4</v>
      </c>
      <c r="B22" s="45">
        <f t="shared" si="6"/>
        <v>103</v>
      </c>
      <c r="C22" s="210">
        <v>107</v>
      </c>
      <c r="D22" s="211">
        <v>135</v>
      </c>
      <c r="E22" s="211">
        <v>128</v>
      </c>
      <c r="G22" s="180"/>
      <c r="H22" s="37"/>
      <c r="I22" s="158"/>
      <c r="J22" s="158"/>
      <c r="K22" s="158"/>
    </row>
    <row r="23" spans="1:11">
      <c r="A23" s="38">
        <v>5</v>
      </c>
      <c r="B23" s="45">
        <f t="shared" si="6"/>
        <v>103</v>
      </c>
      <c r="C23" s="210">
        <v>105</v>
      </c>
      <c r="D23" s="211">
        <v>135</v>
      </c>
      <c r="E23" s="211">
        <v>126</v>
      </c>
      <c r="G23" s="180"/>
      <c r="H23" s="37"/>
      <c r="I23" s="158"/>
      <c r="J23" s="158"/>
      <c r="K23" s="158"/>
    </row>
    <row r="24" spans="1:11">
      <c r="A24" s="38">
        <v>6</v>
      </c>
      <c r="B24" s="45">
        <f t="shared" si="6"/>
        <v>103</v>
      </c>
      <c r="C24" s="210">
        <v>98</v>
      </c>
      <c r="D24" s="211">
        <v>110</v>
      </c>
      <c r="E24" s="211">
        <v>120</v>
      </c>
      <c r="G24" s="180"/>
      <c r="H24" s="37"/>
      <c r="I24" s="158"/>
      <c r="J24" s="158"/>
      <c r="K24" s="158"/>
    </row>
    <row r="25" spans="1:11" ht="15.75" thickBot="1">
      <c r="A25" s="38">
        <v>7</v>
      </c>
      <c r="B25" s="45">
        <f t="shared" si="6"/>
        <v>103</v>
      </c>
      <c r="C25" s="267">
        <v>117</v>
      </c>
      <c r="D25" s="213">
        <v>138</v>
      </c>
      <c r="E25" s="255">
        <v>143</v>
      </c>
      <c r="G25" s="180"/>
      <c r="H25" s="37"/>
      <c r="I25" s="158"/>
      <c r="J25" s="158"/>
      <c r="K25" s="158"/>
    </row>
    <row r="26" spans="1:11">
      <c r="A26" s="90">
        <v>1</v>
      </c>
      <c r="B26" s="46">
        <v>201</v>
      </c>
      <c r="C26" s="208">
        <v>163</v>
      </c>
      <c r="D26" s="209">
        <v>165</v>
      </c>
      <c r="E26" s="209">
        <v>169</v>
      </c>
      <c r="G26" s="180"/>
      <c r="H26" s="37"/>
      <c r="I26" s="158"/>
      <c r="J26" s="158"/>
      <c r="K26" s="158"/>
    </row>
    <row r="27" spans="1:11">
      <c r="A27" s="91">
        <v>2</v>
      </c>
      <c r="B27" s="45">
        <f>B26</f>
        <v>201</v>
      </c>
      <c r="C27" s="220">
        <v>137</v>
      </c>
      <c r="D27" s="211">
        <v>160</v>
      </c>
      <c r="E27" s="256">
        <v>160</v>
      </c>
      <c r="G27" s="180"/>
      <c r="H27" s="37"/>
      <c r="I27" s="158"/>
      <c r="J27" s="158"/>
      <c r="K27" s="158"/>
    </row>
    <row r="28" spans="1:11">
      <c r="A28" s="91">
        <v>3</v>
      </c>
      <c r="B28" s="45">
        <f t="shared" ref="B28:B32" si="7">B27</f>
        <v>201</v>
      </c>
      <c r="C28" s="210">
        <v>124.36</v>
      </c>
      <c r="D28" s="211">
        <v>143</v>
      </c>
      <c r="E28" s="211">
        <v>142</v>
      </c>
      <c r="G28" s="180"/>
      <c r="H28" s="37"/>
      <c r="I28" s="158"/>
      <c r="J28" s="158"/>
      <c r="K28" s="158"/>
    </row>
    <row r="29" spans="1:11">
      <c r="A29" s="91">
        <v>4</v>
      </c>
      <c r="B29" s="45">
        <f t="shared" si="7"/>
        <v>201</v>
      </c>
      <c r="C29" s="210">
        <v>121</v>
      </c>
      <c r="D29" s="211">
        <v>140</v>
      </c>
      <c r="E29" s="211">
        <v>140</v>
      </c>
      <c r="G29" s="180"/>
      <c r="H29" s="37"/>
      <c r="I29" s="158"/>
      <c r="J29" s="158"/>
      <c r="K29" s="158"/>
    </row>
    <row r="30" spans="1:11">
      <c r="A30" s="91">
        <v>5</v>
      </c>
      <c r="B30" s="45">
        <f t="shared" si="7"/>
        <v>201</v>
      </c>
      <c r="C30" s="210">
        <v>114</v>
      </c>
      <c r="D30" s="211">
        <v>135</v>
      </c>
      <c r="E30" s="211">
        <v>136</v>
      </c>
      <c r="G30" s="180"/>
      <c r="H30" s="37"/>
      <c r="I30" s="158"/>
      <c r="J30" s="158"/>
      <c r="K30" s="158"/>
    </row>
    <row r="31" spans="1:11">
      <c r="A31" s="91">
        <v>6</v>
      </c>
      <c r="B31" s="45">
        <f t="shared" si="7"/>
        <v>201</v>
      </c>
      <c r="C31" s="210">
        <v>110</v>
      </c>
      <c r="D31" s="211">
        <v>130</v>
      </c>
      <c r="E31" s="211">
        <v>137</v>
      </c>
      <c r="G31" s="180"/>
      <c r="H31" s="37"/>
      <c r="I31" s="158"/>
      <c r="J31" s="158"/>
      <c r="K31" s="158"/>
    </row>
    <row r="32" spans="1:11" ht="15.75" thickBot="1">
      <c r="A32" s="91">
        <v>7</v>
      </c>
      <c r="B32" s="45">
        <f t="shared" si="7"/>
        <v>201</v>
      </c>
      <c r="C32" s="212">
        <v>101</v>
      </c>
      <c r="D32" s="213">
        <v>130</v>
      </c>
      <c r="E32" s="255">
        <v>159</v>
      </c>
      <c r="G32" s="180"/>
      <c r="H32" s="37"/>
      <c r="I32" s="158"/>
      <c r="J32" s="158"/>
      <c r="K32" s="158"/>
    </row>
    <row r="33" spans="1:15">
      <c r="A33" s="90">
        <v>1</v>
      </c>
      <c r="B33" s="46">
        <v>202</v>
      </c>
      <c r="C33" s="208">
        <v>165</v>
      </c>
      <c r="D33" s="209">
        <v>170</v>
      </c>
      <c r="E33" s="209">
        <v>173</v>
      </c>
      <c r="G33" s="180"/>
      <c r="H33" s="37"/>
      <c r="I33" s="158"/>
      <c r="J33" s="158"/>
      <c r="K33" s="158"/>
    </row>
    <row r="34" spans="1:15">
      <c r="A34" s="91">
        <v>2</v>
      </c>
      <c r="B34" s="45">
        <f>B33</f>
        <v>202</v>
      </c>
      <c r="C34" s="210">
        <v>161</v>
      </c>
      <c r="D34" s="211">
        <v>165</v>
      </c>
      <c r="E34" s="256">
        <v>160</v>
      </c>
      <c r="G34" s="180"/>
      <c r="H34" s="37"/>
      <c r="I34" s="158"/>
      <c r="J34" s="158"/>
      <c r="K34" s="158"/>
    </row>
    <row r="35" spans="1:15">
      <c r="A35" s="91">
        <v>3</v>
      </c>
      <c r="B35" s="45">
        <f t="shared" ref="B35:B39" si="8">B34</f>
        <v>202</v>
      </c>
      <c r="C35" s="210">
        <v>147</v>
      </c>
      <c r="D35" s="211">
        <v>150</v>
      </c>
      <c r="E35" s="211">
        <v>146</v>
      </c>
      <c r="G35" s="180"/>
      <c r="H35" s="37"/>
      <c r="I35" s="158"/>
      <c r="J35" s="158"/>
      <c r="K35" s="158"/>
    </row>
    <row r="36" spans="1:15">
      <c r="A36" s="91">
        <v>4</v>
      </c>
      <c r="B36" s="45">
        <f t="shared" si="8"/>
        <v>202</v>
      </c>
      <c r="C36" s="210">
        <v>122</v>
      </c>
      <c r="D36" s="211">
        <v>140</v>
      </c>
      <c r="E36" s="211">
        <v>142</v>
      </c>
    </row>
    <row r="37" spans="1:15">
      <c r="A37" s="91">
        <v>5</v>
      </c>
      <c r="B37" s="45">
        <f t="shared" si="8"/>
        <v>202</v>
      </c>
      <c r="C37" s="210">
        <v>110</v>
      </c>
      <c r="D37" s="211">
        <v>135</v>
      </c>
      <c r="E37" s="211">
        <v>140</v>
      </c>
    </row>
    <row r="38" spans="1:15">
      <c r="A38" s="91">
        <v>6</v>
      </c>
      <c r="B38" s="45">
        <f t="shared" si="8"/>
        <v>202</v>
      </c>
      <c r="C38" s="210">
        <v>105</v>
      </c>
      <c r="D38" s="211">
        <v>115</v>
      </c>
      <c r="E38" s="211">
        <v>146</v>
      </c>
    </row>
    <row r="39" spans="1:15" ht="15.75" thickBot="1">
      <c r="A39" s="91">
        <v>7</v>
      </c>
      <c r="B39" s="45">
        <f t="shared" si="8"/>
        <v>202</v>
      </c>
      <c r="C39" s="212">
        <v>95</v>
      </c>
      <c r="D39" s="213">
        <v>110</v>
      </c>
      <c r="E39" s="255">
        <v>115</v>
      </c>
      <c r="L39" s="184"/>
      <c r="M39" s="183"/>
      <c r="N39" s="183"/>
      <c r="O39" s="183"/>
    </row>
    <row r="40" spans="1:15">
      <c r="A40" s="90">
        <v>1</v>
      </c>
      <c r="B40" s="46">
        <v>203</v>
      </c>
      <c r="C40" s="220">
        <v>142</v>
      </c>
      <c r="D40" s="256">
        <v>150</v>
      </c>
      <c r="E40" s="209">
        <v>160</v>
      </c>
      <c r="L40" s="184"/>
      <c r="M40" s="183"/>
      <c r="N40" s="183"/>
      <c r="O40" s="183"/>
    </row>
    <row r="41" spans="1:15">
      <c r="A41" s="91">
        <v>2</v>
      </c>
      <c r="B41" s="45">
        <f t="shared" ref="B41:B46" si="9">B40</f>
        <v>203</v>
      </c>
      <c r="C41" s="210">
        <v>138</v>
      </c>
      <c r="D41" s="211">
        <v>145</v>
      </c>
      <c r="E41" s="256">
        <v>147</v>
      </c>
    </row>
    <row r="42" spans="1:15">
      <c r="A42" s="91">
        <v>3</v>
      </c>
      <c r="B42" s="45">
        <f t="shared" si="9"/>
        <v>203</v>
      </c>
      <c r="C42" s="210">
        <v>105</v>
      </c>
      <c r="D42" s="211">
        <v>135</v>
      </c>
      <c r="E42" s="211">
        <v>139</v>
      </c>
    </row>
    <row r="43" spans="1:15">
      <c r="A43" s="91">
        <v>4</v>
      </c>
      <c r="B43" s="45">
        <f t="shared" si="9"/>
        <v>203</v>
      </c>
      <c r="C43" s="210">
        <v>100</v>
      </c>
      <c r="D43" s="211">
        <v>135</v>
      </c>
      <c r="E43" s="211">
        <v>140</v>
      </c>
    </row>
    <row r="44" spans="1:15">
      <c r="A44" s="91">
        <v>5</v>
      </c>
      <c r="B44" s="45">
        <f t="shared" si="9"/>
        <v>203</v>
      </c>
      <c r="C44" s="210">
        <v>90</v>
      </c>
      <c r="D44" s="211">
        <v>110</v>
      </c>
      <c r="E44" s="211">
        <v>115</v>
      </c>
    </row>
    <row r="45" spans="1:15">
      <c r="A45" s="91">
        <v>6</v>
      </c>
      <c r="B45" s="45">
        <f t="shared" si="9"/>
        <v>203</v>
      </c>
      <c r="C45" s="210">
        <v>90</v>
      </c>
      <c r="D45" s="211">
        <v>95</v>
      </c>
      <c r="E45" s="211">
        <v>105</v>
      </c>
    </row>
    <row r="46" spans="1:15" ht="15.75" thickBot="1">
      <c r="A46" s="91">
        <v>7</v>
      </c>
      <c r="B46" s="45">
        <f t="shared" si="9"/>
        <v>203</v>
      </c>
      <c r="C46" s="210">
        <v>87</v>
      </c>
      <c r="D46" s="211">
        <v>95</v>
      </c>
      <c r="E46" s="211">
        <v>100</v>
      </c>
    </row>
    <row r="47" spans="1:15">
      <c r="A47" s="39">
        <v>1</v>
      </c>
      <c r="B47" s="46">
        <v>301</v>
      </c>
      <c r="C47" s="208">
        <v>153</v>
      </c>
      <c r="D47" s="209">
        <v>156</v>
      </c>
      <c r="E47" s="209">
        <v>165</v>
      </c>
    </row>
    <row r="48" spans="1:15">
      <c r="A48" s="38">
        <v>2</v>
      </c>
      <c r="B48" s="45">
        <f>B47</f>
        <v>301</v>
      </c>
      <c r="C48" s="210">
        <v>145</v>
      </c>
      <c r="D48" s="211">
        <v>150</v>
      </c>
      <c r="E48" s="211">
        <v>159</v>
      </c>
    </row>
    <row r="49" spans="1:5">
      <c r="A49" s="38">
        <v>3</v>
      </c>
      <c r="B49" s="45">
        <f t="shared" ref="B49:B53" si="10">B48</f>
        <v>301</v>
      </c>
      <c r="C49" s="210">
        <v>139</v>
      </c>
      <c r="D49" s="211">
        <v>140</v>
      </c>
      <c r="E49" s="211">
        <v>152</v>
      </c>
    </row>
    <row r="50" spans="1:5">
      <c r="A50" s="38">
        <v>4</v>
      </c>
      <c r="B50" s="45">
        <f t="shared" si="10"/>
        <v>301</v>
      </c>
      <c r="C50" s="210">
        <v>132</v>
      </c>
      <c r="D50" s="211">
        <v>140</v>
      </c>
      <c r="E50" s="211">
        <v>144</v>
      </c>
    </row>
    <row r="51" spans="1:5">
      <c r="A51" s="38">
        <v>5</v>
      </c>
      <c r="B51" s="45">
        <f t="shared" si="10"/>
        <v>301</v>
      </c>
      <c r="C51" s="210">
        <v>123</v>
      </c>
      <c r="D51" s="211">
        <v>140</v>
      </c>
      <c r="E51" s="211">
        <v>143</v>
      </c>
    </row>
    <row r="52" spans="1:5">
      <c r="A52" s="38">
        <v>6</v>
      </c>
      <c r="B52" s="45">
        <f t="shared" si="10"/>
        <v>301</v>
      </c>
      <c r="C52" s="210">
        <v>115</v>
      </c>
      <c r="D52" s="211">
        <v>135</v>
      </c>
      <c r="E52" s="211">
        <v>140</v>
      </c>
    </row>
    <row r="53" spans="1:5" ht="15.75" thickBot="1">
      <c r="A53" s="38">
        <v>7</v>
      </c>
      <c r="B53" s="45">
        <f t="shared" si="10"/>
        <v>301</v>
      </c>
      <c r="C53" s="212">
        <v>115</v>
      </c>
      <c r="D53" s="213">
        <v>120</v>
      </c>
      <c r="E53" s="255">
        <v>151</v>
      </c>
    </row>
    <row r="54" spans="1:5">
      <c r="A54" s="39">
        <v>1</v>
      </c>
      <c r="B54" s="46">
        <v>302</v>
      </c>
      <c r="C54" s="208">
        <v>125</v>
      </c>
      <c r="D54" s="209">
        <v>140</v>
      </c>
      <c r="E54" s="209">
        <v>145</v>
      </c>
    </row>
    <row r="55" spans="1:5">
      <c r="A55" s="38">
        <v>2</v>
      </c>
      <c r="B55" s="45">
        <f>B54</f>
        <v>302</v>
      </c>
      <c r="C55" s="210">
        <v>121</v>
      </c>
      <c r="D55" s="211">
        <v>135</v>
      </c>
      <c r="E55" s="256">
        <v>140</v>
      </c>
    </row>
    <row r="56" spans="1:5">
      <c r="A56" s="38">
        <v>3</v>
      </c>
      <c r="B56" s="45">
        <f t="shared" ref="B56:B60" si="11">B55</f>
        <v>302</v>
      </c>
      <c r="C56" s="210">
        <v>118</v>
      </c>
      <c r="D56" s="211">
        <v>130</v>
      </c>
      <c r="E56" s="211">
        <v>133</v>
      </c>
    </row>
    <row r="57" spans="1:5">
      <c r="A57" s="38">
        <v>4</v>
      </c>
      <c r="B57" s="45">
        <f t="shared" si="11"/>
        <v>302</v>
      </c>
      <c r="C57" s="210">
        <v>115</v>
      </c>
      <c r="D57" s="211">
        <v>125</v>
      </c>
      <c r="E57" s="211">
        <v>130</v>
      </c>
    </row>
    <row r="58" spans="1:5">
      <c r="A58" s="38">
        <v>5</v>
      </c>
      <c r="B58" s="45">
        <f t="shared" si="11"/>
        <v>302</v>
      </c>
      <c r="C58" s="210">
        <v>114</v>
      </c>
      <c r="D58" s="211">
        <v>125</v>
      </c>
      <c r="E58" s="211">
        <v>127</v>
      </c>
    </row>
    <row r="59" spans="1:5">
      <c r="A59" s="38">
        <v>6</v>
      </c>
      <c r="B59" s="45">
        <f t="shared" si="11"/>
        <v>302</v>
      </c>
      <c r="C59" s="210">
        <v>103</v>
      </c>
      <c r="D59" s="211">
        <v>120</v>
      </c>
      <c r="E59" s="211">
        <v>125</v>
      </c>
    </row>
    <row r="60" spans="1:5" ht="15.75" thickBot="1">
      <c r="A60" s="38">
        <v>7</v>
      </c>
      <c r="B60" s="45">
        <f t="shared" si="11"/>
        <v>302</v>
      </c>
      <c r="C60" s="212">
        <v>85</v>
      </c>
      <c r="D60" s="213">
        <v>105</v>
      </c>
      <c r="E60" s="213">
        <v>107</v>
      </c>
    </row>
    <row r="61" spans="1:5">
      <c r="A61" s="39">
        <v>1</v>
      </c>
      <c r="B61" s="46">
        <v>303</v>
      </c>
      <c r="C61" s="208">
        <v>145</v>
      </c>
      <c r="D61" s="209">
        <v>150</v>
      </c>
      <c r="E61" s="209">
        <v>160</v>
      </c>
    </row>
    <row r="62" spans="1:5">
      <c r="A62" s="38">
        <v>2</v>
      </c>
      <c r="B62" s="45">
        <f t="shared" ref="B62:B67" si="12">B61</f>
        <v>303</v>
      </c>
      <c r="C62" s="210">
        <v>140</v>
      </c>
      <c r="D62" s="211">
        <v>150</v>
      </c>
      <c r="E62" s="211">
        <v>153</v>
      </c>
    </row>
    <row r="63" spans="1:5">
      <c r="A63" s="38">
        <v>3</v>
      </c>
      <c r="B63" s="45">
        <f t="shared" si="12"/>
        <v>303</v>
      </c>
      <c r="C63" s="210">
        <v>140</v>
      </c>
      <c r="D63" s="211">
        <v>151</v>
      </c>
      <c r="E63" s="211">
        <v>155</v>
      </c>
    </row>
    <row r="64" spans="1:5">
      <c r="A64" s="38">
        <v>4</v>
      </c>
      <c r="B64" s="45">
        <f t="shared" si="12"/>
        <v>303</v>
      </c>
      <c r="C64" s="210">
        <v>134</v>
      </c>
      <c r="D64" s="211">
        <v>145</v>
      </c>
      <c r="E64" s="211">
        <v>150</v>
      </c>
    </row>
    <row r="65" spans="1:5">
      <c r="A65" s="38">
        <v>5</v>
      </c>
      <c r="B65" s="45">
        <f t="shared" si="12"/>
        <v>303</v>
      </c>
      <c r="C65" s="210">
        <v>119</v>
      </c>
      <c r="D65" s="211">
        <v>130</v>
      </c>
      <c r="E65" s="211">
        <v>133</v>
      </c>
    </row>
    <row r="66" spans="1:5">
      <c r="A66" s="38">
        <v>6</v>
      </c>
      <c r="B66" s="45">
        <f t="shared" si="12"/>
        <v>303</v>
      </c>
      <c r="C66" s="210">
        <v>110</v>
      </c>
      <c r="D66" s="211">
        <v>125</v>
      </c>
      <c r="E66" s="211">
        <v>130</v>
      </c>
    </row>
    <row r="67" spans="1:5" ht="15.75" thickBot="1">
      <c r="A67" s="38">
        <v>7</v>
      </c>
      <c r="B67" s="45">
        <f t="shared" si="12"/>
        <v>303</v>
      </c>
      <c r="C67" s="212">
        <v>106</v>
      </c>
      <c r="D67" s="213">
        <v>125</v>
      </c>
      <c r="E67" s="255">
        <v>145</v>
      </c>
    </row>
    <row r="68" spans="1:5">
      <c r="A68" s="90">
        <v>1</v>
      </c>
      <c r="B68" s="46">
        <v>401</v>
      </c>
      <c r="C68" s="208">
        <v>162</v>
      </c>
      <c r="D68" s="209">
        <v>165</v>
      </c>
      <c r="E68" s="209">
        <v>168</v>
      </c>
    </row>
    <row r="69" spans="1:5">
      <c r="A69" s="91">
        <v>2</v>
      </c>
      <c r="B69" s="45">
        <f>B68</f>
        <v>401</v>
      </c>
      <c r="C69" s="210">
        <v>145</v>
      </c>
      <c r="D69" s="211">
        <v>145</v>
      </c>
      <c r="E69" s="256">
        <v>160</v>
      </c>
    </row>
    <row r="70" spans="1:5">
      <c r="A70" s="91">
        <v>3</v>
      </c>
      <c r="B70" s="45">
        <f t="shared" ref="B70:B74" si="13">B69</f>
        <v>401</v>
      </c>
      <c r="C70" s="210">
        <v>140</v>
      </c>
      <c r="D70" s="211">
        <v>141</v>
      </c>
      <c r="E70" s="211">
        <v>146</v>
      </c>
    </row>
    <row r="71" spans="1:5">
      <c r="A71" s="91">
        <v>4</v>
      </c>
      <c r="B71" s="45">
        <f t="shared" si="13"/>
        <v>401</v>
      </c>
      <c r="C71" s="210">
        <v>130</v>
      </c>
      <c r="D71" s="211">
        <v>135</v>
      </c>
      <c r="E71" s="211">
        <v>137</v>
      </c>
    </row>
    <row r="72" spans="1:5">
      <c r="A72" s="91">
        <v>5</v>
      </c>
      <c r="B72" s="45">
        <f t="shared" si="13"/>
        <v>401</v>
      </c>
      <c r="C72" s="210">
        <v>120</v>
      </c>
      <c r="D72" s="211">
        <v>131</v>
      </c>
      <c r="E72" s="211">
        <v>135</v>
      </c>
    </row>
    <row r="73" spans="1:5">
      <c r="A73" s="91">
        <v>6</v>
      </c>
      <c r="B73" s="45">
        <f t="shared" si="13"/>
        <v>401</v>
      </c>
      <c r="C73" s="210">
        <v>95</v>
      </c>
      <c r="D73" s="211">
        <v>120</v>
      </c>
      <c r="E73" s="211">
        <v>123</v>
      </c>
    </row>
    <row r="74" spans="1:5" ht="15.75" thickBot="1">
      <c r="A74" s="91">
        <v>7</v>
      </c>
      <c r="B74" s="45">
        <f t="shared" si="13"/>
        <v>401</v>
      </c>
      <c r="C74" s="212">
        <v>73</v>
      </c>
      <c r="D74" s="213">
        <v>100</v>
      </c>
      <c r="E74" s="255">
        <v>143</v>
      </c>
    </row>
    <row r="75" spans="1:5">
      <c r="A75" s="90">
        <v>1</v>
      </c>
      <c r="B75" s="46">
        <v>402</v>
      </c>
      <c r="C75" s="208">
        <v>162</v>
      </c>
      <c r="D75" s="209">
        <v>170</v>
      </c>
      <c r="E75" s="262">
        <v>175</v>
      </c>
    </row>
    <row r="76" spans="1:5">
      <c r="A76" s="91">
        <v>2</v>
      </c>
      <c r="B76" s="45">
        <f>B75</f>
        <v>402</v>
      </c>
      <c r="C76" s="210">
        <v>160</v>
      </c>
      <c r="D76" s="211">
        <v>170</v>
      </c>
      <c r="E76" s="268">
        <v>177</v>
      </c>
    </row>
    <row r="77" spans="1:5">
      <c r="A77" s="91">
        <v>3</v>
      </c>
      <c r="B77" s="45">
        <f t="shared" ref="B77:B81" si="14">B76</f>
        <v>402</v>
      </c>
      <c r="C77" s="210">
        <v>155</v>
      </c>
      <c r="D77" s="211">
        <v>165</v>
      </c>
      <c r="E77" s="263">
        <v>168</v>
      </c>
    </row>
    <row r="78" spans="1:5">
      <c r="A78" s="91">
        <v>4</v>
      </c>
      <c r="B78" s="45">
        <f t="shared" si="14"/>
        <v>402</v>
      </c>
      <c r="C78" s="210">
        <v>150</v>
      </c>
      <c r="D78" s="211">
        <v>153</v>
      </c>
      <c r="E78" s="263">
        <v>160</v>
      </c>
    </row>
    <row r="79" spans="1:5">
      <c r="A79" s="91">
        <v>5</v>
      </c>
      <c r="B79" s="45">
        <f t="shared" si="14"/>
        <v>402</v>
      </c>
      <c r="C79" s="210">
        <v>147</v>
      </c>
      <c r="D79" s="211">
        <v>160</v>
      </c>
      <c r="E79" s="263">
        <v>180</v>
      </c>
    </row>
    <row r="80" spans="1:5">
      <c r="A80" s="91">
        <v>6</v>
      </c>
      <c r="B80" s="45">
        <f t="shared" si="14"/>
        <v>402</v>
      </c>
      <c r="C80" s="210">
        <v>107</v>
      </c>
      <c r="D80" s="211">
        <v>120</v>
      </c>
      <c r="E80" s="263">
        <v>161</v>
      </c>
    </row>
    <row r="81" spans="1:5" ht="15.75" thickBot="1">
      <c r="A81" s="91">
        <v>7</v>
      </c>
      <c r="B81" s="45">
        <f t="shared" si="14"/>
        <v>402</v>
      </c>
      <c r="C81" s="212">
        <v>147</v>
      </c>
      <c r="D81" s="266">
        <v>156</v>
      </c>
      <c r="E81" s="255">
        <v>169</v>
      </c>
    </row>
    <row r="82" spans="1:5">
      <c r="A82" s="90">
        <v>1</v>
      </c>
      <c r="B82" s="317">
        <v>403</v>
      </c>
      <c r="C82" s="208">
        <v>159</v>
      </c>
      <c r="D82" s="209">
        <v>160</v>
      </c>
      <c r="E82" s="209">
        <v>168</v>
      </c>
    </row>
    <row r="83" spans="1:5">
      <c r="A83" s="91">
        <v>2</v>
      </c>
      <c r="B83" s="318">
        <f t="shared" ref="B83:B88" si="15">B82</f>
        <v>403</v>
      </c>
      <c r="C83" s="210">
        <v>150</v>
      </c>
      <c r="D83" s="256">
        <v>140</v>
      </c>
      <c r="E83" s="256">
        <v>160</v>
      </c>
    </row>
    <row r="84" spans="1:5">
      <c r="A84" s="91">
        <v>3</v>
      </c>
      <c r="B84" s="318">
        <f t="shared" si="15"/>
        <v>403</v>
      </c>
      <c r="C84" s="210">
        <v>124</v>
      </c>
      <c r="D84" s="211">
        <v>140</v>
      </c>
      <c r="E84" s="211">
        <v>145</v>
      </c>
    </row>
    <row r="85" spans="1:5">
      <c r="A85" s="91">
        <v>4</v>
      </c>
      <c r="B85" s="318">
        <f t="shared" si="15"/>
        <v>403</v>
      </c>
      <c r="C85" s="210">
        <v>105</v>
      </c>
      <c r="D85" s="211">
        <v>120</v>
      </c>
      <c r="E85" s="211">
        <v>130</v>
      </c>
    </row>
    <row r="86" spans="1:5">
      <c r="A86" s="91">
        <v>5</v>
      </c>
      <c r="B86" s="318">
        <f t="shared" si="15"/>
        <v>403</v>
      </c>
      <c r="C86" s="210">
        <v>84</v>
      </c>
      <c r="D86" s="211">
        <v>100</v>
      </c>
      <c r="E86" s="211">
        <v>114</v>
      </c>
    </row>
    <row r="87" spans="1:5">
      <c r="A87" s="91">
        <v>6</v>
      </c>
      <c r="B87" s="318">
        <f t="shared" si="15"/>
        <v>403</v>
      </c>
      <c r="C87" s="210">
        <v>95</v>
      </c>
      <c r="D87" s="211">
        <v>78</v>
      </c>
      <c r="E87" s="211">
        <v>110</v>
      </c>
    </row>
    <row r="88" spans="1:5" ht="15.75" thickBot="1">
      <c r="A88" s="91">
        <v>7</v>
      </c>
      <c r="B88" s="319">
        <f t="shared" si="15"/>
        <v>403</v>
      </c>
      <c r="C88" s="212">
        <v>58</v>
      </c>
      <c r="D88" s="213">
        <v>123</v>
      </c>
      <c r="E88" s="213">
        <v>137</v>
      </c>
    </row>
  </sheetData>
  <sortState xmlns:xlrd2="http://schemas.microsoft.com/office/spreadsheetml/2017/richdata2" ref="E82:E88">
    <sortCondition descending="1" ref="E82:E88"/>
  </sortState>
  <mergeCells count="6">
    <mergeCell ref="G12:G15"/>
    <mergeCell ref="G16:G19"/>
    <mergeCell ref="R4:S4"/>
    <mergeCell ref="A2:B2"/>
    <mergeCell ref="G5:H5"/>
    <mergeCell ref="G8:G1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9EBE-4A93-4FD6-9D3C-20A05D4D1FC3}">
  <sheetPr>
    <tabColor rgb="FF92D050"/>
  </sheetPr>
  <dimension ref="A1:U192"/>
  <sheetViews>
    <sheetView topLeftCell="N1" zoomScale="90" zoomScaleNormal="90" workbookViewId="0">
      <selection activeCell="S10" sqref="S10:U11"/>
    </sheetView>
  </sheetViews>
  <sheetFormatPr defaultColWidth="11.5703125" defaultRowHeight="15"/>
  <cols>
    <col min="1" max="1" width="3.28515625" style="40" bestFit="1" customWidth="1"/>
    <col min="2" max="2" width="5.28515625" style="40" customWidth="1"/>
    <col min="3" max="3" width="10.5703125" style="40" bestFit="1" customWidth="1"/>
    <col min="4" max="4" width="10.5703125" style="172" bestFit="1" customWidth="1"/>
    <col min="5" max="5" width="10.5703125" style="40" bestFit="1" customWidth="1"/>
    <col min="6" max="9" width="11.5703125" style="40"/>
    <col min="10" max="10" width="9.7109375" style="40" customWidth="1"/>
    <col min="11" max="11" width="11.5703125" style="40"/>
    <col min="12" max="12" width="14.85546875" style="40" customWidth="1"/>
    <col min="13" max="13" width="13.5703125" style="40" customWidth="1"/>
    <col min="14" max="14" width="21.5703125" style="40" customWidth="1"/>
    <col min="15" max="16" width="15.85546875" style="40" customWidth="1"/>
    <col min="17" max="20" width="11.5703125" style="40"/>
    <col min="21" max="21" width="15.140625" style="40" customWidth="1"/>
    <col min="22" max="16384" width="11.5703125" style="40"/>
  </cols>
  <sheetData>
    <row r="1" spans="1:21">
      <c r="C1" s="83"/>
      <c r="D1" s="170"/>
    </row>
    <row r="2" spans="1:21">
      <c r="A2" s="382" t="s">
        <v>145</v>
      </c>
      <c r="B2" s="382"/>
      <c r="C2" s="382"/>
      <c r="D2" s="382"/>
    </row>
    <row r="3" spans="1:21" ht="15.75" thickBot="1">
      <c r="C3" s="62">
        <v>45387</v>
      </c>
      <c r="D3" s="254">
        <v>45464</v>
      </c>
      <c r="E3" s="62">
        <v>45478</v>
      </c>
    </row>
    <row r="4" spans="1:21" ht="15.75" thickBot="1">
      <c r="A4" s="37"/>
      <c r="B4" s="45"/>
      <c r="C4" s="82" t="s">
        <v>140</v>
      </c>
      <c r="D4" s="171" t="s">
        <v>141</v>
      </c>
      <c r="E4" s="313" t="s">
        <v>31</v>
      </c>
    </row>
    <row r="5" spans="1:21">
      <c r="A5" s="225">
        <v>1</v>
      </c>
      <c r="B5" s="233">
        <v>101</v>
      </c>
      <c r="C5" s="271">
        <v>32.697000000000003</v>
      </c>
      <c r="D5" s="203">
        <v>59.24</v>
      </c>
      <c r="E5" s="272">
        <v>69.22</v>
      </c>
    </row>
    <row r="6" spans="1:21" ht="19.5" thickBot="1">
      <c r="A6" s="225">
        <v>2</v>
      </c>
      <c r="B6" s="234">
        <f>B5</f>
        <v>101</v>
      </c>
      <c r="C6" s="237">
        <v>31.798999999999999</v>
      </c>
      <c r="D6" s="54">
        <v>41.17</v>
      </c>
      <c r="E6" s="238">
        <v>50.8</v>
      </c>
      <c r="G6" s="383" t="s">
        <v>133</v>
      </c>
      <c r="H6" s="383"/>
      <c r="M6" s="384" t="s">
        <v>134</v>
      </c>
      <c r="N6" s="384"/>
      <c r="Q6" s="44"/>
      <c r="R6" s="388" t="s">
        <v>146</v>
      </c>
      <c r="S6" s="388"/>
      <c r="T6" s="388"/>
    </row>
    <row r="7" spans="1:21" ht="15.75" thickBot="1">
      <c r="A7" s="225">
        <v>3</v>
      </c>
      <c r="B7" s="234">
        <f t="shared" ref="B7:B19" si="0">B6</f>
        <v>101</v>
      </c>
      <c r="C7" s="237">
        <v>52.311</v>
      </c>
      <c r="D7" s="54">
        <v>61</v>
      </c>
      <c r="E7" s="238">
        <v>60.04</v>
      </c>
      <c r="I7" s="62"/>
      <c r="J7" s="62"/>
      <c r="K7" s="62"/>
      <c r="N7" s="358" t="s">
        <v>136</v>
      </c>
      <c r="O7" s="358" t="s">
        <v>137</v>
      </c>
      <c r="P7" s="359" t="s">
        <v>138</v>
      </c>
      <c r="S7" s="358" t="s">
        <v>136</v>
      </c>
      <c r="T7" s="358" t="s">
        <v>137</v>
      </c>
      <c r="U7" s="359" t="s">
        <v>138</v>
      </c>
    </row>
    <row r="8" spans="1:21" ht="15.75" thickBot="1">
      <c r="A8" s="225">
        <v>4</v>
      </c>
      <c r="B8" s="234">
        <f t="shared" si="0"/>
        <v>101</v>
      </c>
      <c r="C8" s="237">
        <v>42.183999999999997</v>
      </c>
      <c r="D8" s="54">
        <v>98</v>
      </c>
      <c r="E8" s="238">
        <v>42.46</v>
      </c>
      <c r="G8" s="37"/>
      <c r="H8" s="37"/>
      <c r="I8" s="35" t="s">
        <v>140</v>
      </c>
      <c r="J8" s="35" t="s">
        <v>141</v>
      </c>
      <c r="K8" s="33" t="s">
        <v>31</v>
      </c>
      <c r="L8" s="89"/>
      <c r="N8" s="199" t="s">
        <v>140</v>
      </c>
      <c r="O8" s="300" t="s">
        <v>141</v>
      </c>
      <c r="P8" s="334" t="s">
        <v>31</v>
      </c>
      <c r="S8" s="199" t="s">
        <v>140</v>
      </c>
      <c r="T8" s="199" t="s">
        <v>141</v>
      </c>
      <c r="U8" s="200" t="s">
        <v>31</v>
      </c>
    </row>
    <row r="9" spans="1:21">
      <c r="A9" s="225">
        <v>5</v>
      </c>
      <c r="B9" s="234">
        <f t="shared" si="0"/>
        <v>101</v>
      </c>
      <c r="C9" s="237">
        <v>34.152999999999999</v>
      </c>
      <c r="D9" s="54">
        <v>84</v>
      </c>
      <c r="E9" s="238">
        <v>42.7</v>
      </c>
      <c r="G9" s="385" t="s">
        <v>38</v>
      </c>
      <c r="H9" s="249">
        <v>101</v>
      </c>
      <c r="I9" s="324">
        <f t="shared" ref="I9:I20" si="1">AVERAGEIF(B:B,H9,C:C)</f>
        <v>46.858066666666666</v>
      </c>
      <c r="J9" s="70">
        <f t="shared" ref="J9:J20" si="2">AVERAGEIF(B:B,H9,D:D)</f>
        <v>73.003999999999991</v>
      </c>
      <c r="K9" s="327">
        <f t="shared" ref="K9:K20" si="3">AVERAGEIF(B:B,H9,E:E)</f>
        <v>46.174000000000007</v>
      </c>
      <c r="M9" s="181" t="s">
        <v>142</v>
      </c>
      <c r="N9" s="202">
        <f>AVERAGE(I9:I12)</f>
        <v>38.516449999999999</v>
      </c>
      <c r="O9" s="202">
        <f>AVERAGE(J9:J12)</f>
        <v>60.795333333333332</v>
      </c>
      <c r="P9" s="161">
        <f>AVERAGE(K9:K12)</f>
        <v>58.960333333333331</v>
      </c>
      <c r="R9" s="181" t="s">
        <v>142</v>
      </c>
      <c r="S9" s="224">
        <f t="shared" ref="S9:U11" si="4">N9*100/N$9-100</f>
        <v>0</v>
      </c>
      <c r="T9" s="224">
        <f t="shared" si="4"/>
        <v>0</v>
      </c>
      <c r="U9" s="331">
        <f t="shared" si="4"/>
        <v>0</v>
      </c>
    </row>
    <row r="10" spans="1:21">
      <c r="A10" s="225">
        <v>6</v>
      </c>
      <c r="B10" s="234">
        <f t="shared" si="0"/>
        <v>101</v>
      </c>
      <c r="C10" s="237">
        <v>54.055</v>
      </c>
      <c r="D10" s="54">
        <v>65.3</v>
      </c>
      <c r="E10" s="238">
        <v>32.68</v>
      </c>
      <c r="G10" s="386"/>
      <c r="H10" s="250">
        <v>201</v>
      </c>
      <c r="I10" s="325">
        <f t="shared" si="1"/>
        <v>31.743066666666667</v>
      </c>
      <c r="J10" s="87">
        <f t="shared" si="2"/>
        <v>56.607333333333337</v>
      </c>
      <c r="K10" s="328">
        <f t="shared" si="3"/>
        <v>60.612000000000002</v>
      </c>
      <c r="M10" s="182" t="s">
        <v>43</v>
      </c>
      <c r="N10" s="49">
        <f>AVERAGE(I13:I16)</f>
        <v>35.252000000000002</v>
      </c>
      <c r="O10" s="49">
        <f>AVERAGE(J13:J16)</f>
        <v>59.923133333333332</v>
      </c>
      <c r="P10" s="162">
        <f>AVERAGE(K13:K16)</f>
        <v>63.520666666666664</v>
      </c>
      <c r="R10" s="182" t="s">
        <v>43</v>
      </c>
      <c r="S10" s="56">
        <f t="shared" si="4"/>
        <v>-8.4754695720919102</v>
      </c>
      <c r="T10" s="56">
        <f t="shared" si="4"/>
        <v>-1.4346495893325084</v>
      </c>
      <c r="U10" s="332">
        <f t="shared" si="4"/>
        <v>7.7345786150010554</v>
      </c>
    </row>
    <row r="11" spans="1:21" ht="15.75" thickBot="1">
      <c r="A11" s="225">
        <v>7</v>
      </c>
      <c r="B11" s="234">
        <f t="shared" si="0"/>
        <v>101</v>
      </c>
      <c r="C11" s="237">
        <v>31.911999999999999</v>
      </c>
      <c r="D11" s="54">
        <v>102.32</v>
      </c>
      <c r="E11" s="238">
        <v>35.74</v>
      </c>
      <c r="G11" s="386"/>
      <c r="H11" s="250">
        <v>303</v>
      </c>
      <c r="I11" s="325">
        <f t="shared" si="1"/>
        <v>35.67966666666667</v>
      </c>
      <c r="J11" s="87">
        <f t="shared" si="2"/>
        <v>66.084000000000003</v>
      </c>
      <c r="K11" s="328">
        <f t="shared" si="3"/>
        <v>67.887999999999991</v>
      </c>
      <c r="M11" s="316" t="s">
        <v>47</v>
      </c>
      <c r="N11" s="50">
        <f>AVERAGE(I17:I20)</f>
        <v>39.410000000000004</v>
      </c>
      <c r="O11" s="50">
        <f>AVERAGE(J17:J20)</f>
        <v>57.237166666666667</v>
      </c>
      <c r="P11" s="163">
        <f>AVERAGE(K17:K20)</f>
        <v>60.418316666666669</v>
      </c>
      <c r="R11" s="316" t="s">
        <v>47</v>
      </c>
      <c r="S11" s="58">
        <f t="shared" si="4"/>
        <v>2.3199178532808844</v>
      </c>
      <c r="T11" s="58">
        <f t="shared" si="4"/>
        <v>-5.8526970271840923</v>
      </c>
      <c r="U11" s="333">
        <f t="shared" si="4"/>
        <v>2.4728207099688575</v>
      </c>
    </row>
    <row r="12" spans="1:21" ht="15.75" thickBot="1">
      <c r="A12" s="225">
        <v>8</v>
      </c>
      <c r="B12" s="234">
        <f t="shared" si="0"/>
        <v>101</v>
      </c>
      <c r="C12" s="237">
        <v>75.497</v>
      </c>
      <c r="D12" s="54">
        <v>102.01</v>
      </c>
      <c r="E12" s="238">
        <v>35.729999999999997</v>
      </c>
      <c r="G12" s="387"/>
      <c r="H12" s="251">
        <v>403</v>
      </c>
      <c r="I12" s="326">
        <f t="shared" si="1"/>
        <v>39.784999999999997</v>
      </c>
      <c r="J12" s="88">
        <f t="shared" si="2"/>
        <v>47.485999999999997</v>
      </c>
      <c r="K12" s="329">
        <f t="shared" si="3"/>
        <v>61.167333333333339</v>
      </c>
    </row>
    <row r="13" spans="1:21">
      <c r="A13" s="225">
        <v>9</v>
      </c>
      <c r="B13" s="234">
        <f t="shared" si="0"/>
        <v>101</v>
      </c>
      <c r="C13" s="237">
        <v>44.201000000000001</v>
      </c>
      <c r="D13" s="54">
        <v>92.03</v>
      </c>
      <c r="E13" s="238">
        <v>47.56</v>
      </c>
      <c r="G13" s="385" t="s">
        <v>42</v>
      </c>
      <c r="H13" s="249">
        <v>102</v>
      </c>
      <c r="I13" s="324">
        <f t="shared" si="1"/>
        <v>41.501333333333342</v>
      </c>
      <c r="J13" s="70">
        <f t="shared" si="2"/>
        <v>65.826666666666668</v>
      </c>
      <c r="K13" s="327">
        <f t="shared" si="3"/>
        <v>47.626666666666672</v>
      </c>
    </row>
    <row r="14" spans="1:21">
      <c r="A14" s="225">
        <v>10</v>
      </c>
      <c r="B14" s="234">
        <f t="shared" si="0"/>
        <v>101</v>
      </c>
      <c r="C14" s="237">
        <v>40.036999999999999</v>
      </c>
      <c r="D14" s="54">
        <v>65.460000000000008</v>
      </c>
      <c r="E14" s="238">
        <v>47.08</v>
      </c>
      <c r="G14" s="386"/>
      <c r="H14" s="250">
        <v>202</v>
      </c>
      <c r="I14" s="325">
        <f t="shared" si="1"/>
        <v>28.158666666666665</v>
      </c>
      <c r="J14" s="87">
        <f t="shared" si="2"/>
        <v>47.435333333333332</v>
      </c>
      <c r="K14" s="328">
        <f t="shared" si="3"/>
        <v>73.542666666666662</v>
      </c>
    </row>
    <row r="15" spans="1:21">
      <c r="A15" s="225">
        <v>11</v>
      </c>
      <c r="B15" s="234">
        <f t="shared" si="0"/>
        <v>101</v>
      </c>
      <c r="C15" s="237">
        <v>76.498000000000005</v>
      </c>
      <c r="D15" s="54">
        <v>67.58</v>
      </c>
      <c r="E15" s="238">
        <v>58.910000000000004</v>
      </c>
      <c r="G15" s="386"/>
      <c r="H15" s="250">
        <v>302</v>
      </c>
      <c r="I15" s="325">
        <f t="shared" si="1"/>
        <v>33.335333333333331</v>
      </c>
      <c r="J15" s="87">
        <f t="shared" si="2"/>
        <v>64.229199999999992</v>
      </c>
      <c r="K15" s="328">
        <f t="shared" si="3"/>
        <v>68.216666666666669</v>
      </c>
      <c r="O15" s="43"/>
    </row>
    <row r="16" spans="1:21" ht="15.75" thickBot="1">
      <c r="A16" s="225">
        <v>12</v>
      </c>
      <c r="B16" s="234">
        <f t="shared" si="0"/>
        <v>101</v>
      </c>
      <c r="C16" s="237">
        <v>52.305</v>
      </c>
      <c r="D16" s="54">
        <v>31.02</v>
      </c>
      <c r="E16" s="238">
        <v>50.9</v>
      </c>
      <c r="G16" s="387"/>
      <c r="H16" s="251">
        <v>402</v>
      </c>
      <c r="I16" s="326">
        <f t="shared" si="1"/>
        <v>38.012666666666668</v>
      </c>
      <c r="J16" s="88">
        <f t="shared" si="2"/>
        <v>62.201333333333331</v>
      </c>
      <c r="K16" s="329">
        <f t="shared" si="3"/>
        <v>64.696666666666658</v>
      </c>
    </row>
    <row r="17" spans="1:11">
      <c r="A17" s="225">
        <v>13</v>
      </c>
      <c r="B17" s="234">
        <f t="shared" si="0"/>
        <v>101</v>
      </c>
      <c r="C17" s="237">
        <v>49.151000000000003</v>
      </c>
      <c r="D17" s="54">
        <v>68.34</v>
      </c>
      <c r="E17" s="238">
        <v>52.81</v>
      </c>
      <c r="G17" s="385" t="s">
        <v>46</v>
      </c>
      <c r="H17" s="249">
        <v>103</v>
      </c>
      <c r="I17" s="324">
        <f t="shared" si="1"/>
        <v>46.178666666666665</v>
      </c>
      <c r="J17" s="70">
        <f t="shared" si="2"/>
        <v>58.521999999999998</v>
      </c>
      <c r="K17" s="327">
        <f t="shared" si="3"/>
        <v>55.676666666666669</v>
      </c>
    </row>
    <row r="18" spans="1:11">
      <c r="A18" s="225">
        <v>14</v>
      </c>
      <c r="B18" s="234">
        <f t="shared" si="0"/>
        <v>101</v>
      </c>
      <c r="C18" s="239">
        <v>59.481000000000002</v>
      </c>
      <c r="D18" s="54">
        <v>74.23</v>
      </c>
      <c r="E18" s="238">
        <v>47.34</v>
      </c>
      <c r="G18" s="386"/>
      <c r="H18" s="250">
        <v>203</v>
      </c>
      <c r="I18" s="325">
        <f t="shared" si="1"/>
        <v>30.047333333333334</v>
      </c>
      <c r="J18" s="87">
        <f t="shared" si="2"/>
        <v>53.765999999999991</v>
      </c>
      <c r="K18" s="328">
        <f t="shared" si="3"/>
        <v>68.093933333333339</v>
      </c>
    </row>
    <row r="19" spans="1:11" ht="15.75" thickBot="1">
      <c r="A19" s="225">
        <v>15</v>
      </c>
      <c r="B19" s="234">
        <f t="shared" si="0"/>
        <v>101</v>
      </c>
      <c r="C19" s="240">
        <v>26.59</v>
      </c>
      <c r="D19" s="55">
        <v>83.36</v>
      </c>
      <c r="E19" s="241">
        <v>18.64</v>
      </c>
      <c r="G19" s="386"/>
      <c r="H19" s="250">
        <v>301</v>
      </c>
      <c r="I19" s="325">
        <f t="shared" si="1"/>
        <v>43.926666666666669</v>
      </c>
      <c r="J19" s="87">
        <f t="shared" si="2"/>
        <v>64.779333333333341</v>
      </c>
      <c r="K19" s="328">
        <f t="shared" si="3"/>
        <v>58.400666666666666</v>
      </c>
    </row>
    <row r="20" spans="1:11" ht="15.75" thickBot="1">
      <c r="A20" s="225">
        <v>1</v>
      </c>
      <c r="B20" s="233">
        <v>102</v>
      </c>
      <c r="C20" s="242">
        <v>39.18</v>
      </c>
      <c r="D20" s="270">
        <v>48.01</v>
      </c>
      <c r="E20" s="244">
        <v>41.93</v>
      </c>
      <c r="G20" s="387"/>
      <c r="H20" s="251">
        <v>401</v>
      </c>
      <c r="I20" s="326">
        <f t="shared" si="1"/>
        <v>37.487333333333332</v>
      </c>
      <c r="J20" s="88">
        <f t="shared" si="2"/>
        <v>51.88133333333333</v>
      </c>
      <c r="K20" s="329">
        <f t="shared" si="3"/>
        <v>59.501999999999995</v>
      </c>
    </row>
    <row r="21" spans="1:11">
      <c r="A21" s="225">
        <v>2</v>
      </c>
      <c r="B21" s="234">
        <f>B20</f>
        <v>102</v>
      </c>
      <c r="C21" s="237">
        <v>46.22</v>
      </c>
      <c r="D21" s="236">
        <v>78.67</v>
      </c>
      <c r="E21" s="238">
        <v>46.21</v>
      </c>
      <c r="G21" s="180"/>
      <c r="H21" s="37"/>
      <c r="I21" s="158"/>
      <c r="J21" s="158"/>
      <c r="K21" s="158"/>
    </row>
    <row r="22" spans="1:11">
      <c r="A22" s="225">
        <v>3</v>
      </c>
      <c r="B22" s="234">
        <f t="shared" ref="B22:B34" si="5">B21</f>
        <v>102</v>
      </c>
      <c r="C22" s="237">
        <v>38.04</v>
      </c>
      <c r="D22" s="236">
        <v>81.93</v>
      </c>
      <c r="E22" s="238">
        <v>36.72</v>
      </c>
      <c r="G22" s="180"/>
      <c r="H22" s="37"/>
      <c r="I22" s="158"/>
      <c r="J22" s="158"/>
      <c r="K22" s="158"/>
    </row>
    <row r="23" spans="1:11">
      <c r="A23" s="225">
        <v>4</v>
      </c>
      <c r="B23" s="234">
        <f t="shared" si="5"/>
        <v>102</v>
      </c>
      <c r="C23" s="237">
        <v>31</v>
      </c>
      <c r="D23" s="236">
        <v>79.959999999999994</v>
      </c>
      <c r="E23" s="238">
        <v>50.64</v>
      </c>
      <c r="G23" s="180"/>
      <c r="H23" s="37"/>
      <c r="I23" s="158"/>
      <c r="J23" s="158"/>
      <c r="K23" s="158"/>
    </row>
    <row r="24" spans="1:11">
      <c r="A24" s="225">
        <v>5</v>
      </c>
      <c r="B24" s="234">
        <f t="shared" si="5"/>
        <v>102</v>
      </c>
      <c r="C24" s="237">
        <v>40.54</v>
      </c>
      <c r="D24" s="236">
        <v>68.89</v>
      </c>
      <c r="E24" s="238">
        <v>58.76</v>
      </c>
      <c r="G24" s="180"/>
      <c r="H24" s="37"/>
      <c r="I24" s="158"/>
      <c r="J24" s="158"/>
      <c r="K24" s="158"/>
    </row>
    <row r="25" spans="1:11">
      <c r="A25" s="225">
        <v>6</v>
      </c>
      <c r="B25" s="234">
        <f t="shared" si="5"/>
        <v>102</v>
      </c>
      <c r="C25" s="237">
        <v>62.84</v>
      </c>
      <c r="D25" s="236">
        <v>57.32</v>
      </c>
      <c r="E25" s="238">
        <v>61.77</v>
      </c>
      <c r="G25" s="180"/>
      <c r="H25" s="37"/>
      <c r="I25" s="158"/>
      <c r="J25" s="158"/>
      <c r="K25" s="158"/>
    </row>
    <row r="26" spans="1:11">
      <c r="A26" s="225">
        <v>7</v>
      </c>
      <c r="B26" s="234">
        <f t="shared" si="5"/>
        <v>102</v>
      </c>
      <c r="C26" s="237">
        <v>35.619999999999997</v>
      </c>
      <c r="D26" s="236">
        <v>45.73</v>
      </c>
      <c r="E26" s="238">
        <v>37.31</v>
      </c>
      <c r="G26" s="180"/>
      <c r="H26" s="37"/>
      <c r="I26" s="158"/>
      <c r="J26" s="158"/>
      <c r="K26" s="158"/>
    </row>
    <row r="27" spans="1:11">
      <c r="A27" s="225">
        <v>8</v>
      </c>
      <c r="B27" s="234">
        <f t="shared" si="5"/>
        <v>102</v>
      </c>
      <c r="C27" s="237">
        <v>62.23</v>
      </c>
      <c r="D27" s="54">
        <v>46.19</v>
      </c>
      <c r="E27" s="238">
        <v>41.33</v>
      </c>
      <c r="G27" s="180"/>
      <c r="H27" s="37"/>
      <c r="I27" s="158"/>
      <c r="J27" s="158"/>
      <c r="K27" s="158"/>
    </row>
    <row r="28" spans="1:11">
      <c r="A28" s="225">
        <v>9</v>
      </c>
      <c r="B28" s="234">
        <f t="shared" si="5"/>
        <v>102</v>
      </c>
      <c r="C28" s="237">
        <v>62.72</v>
      </c>
      <c r="D28" s="54">
        <v>20.57</v>
      </c>
      <c r="E28" s="238">
        <v>40.32</v>
      </c>
      <c r="G28" s="180"/>
      <c r="H28" s="37"/>
      <c r="I28" s="158"/>
      <c r="J28" s="158"/>
      <c r="K28" s="158"/>
    </row>
    <row r="29" spans="1:11">
      <c r="A29" s="225">
        <v>10</v>
      </c>
      <c r="B29" s="234">
        <f t="shared" si="5"/>
        <v>102</v>
      </c>
      <c r="C29" s="237">
        <v>39.22</v>
      </c>
      <c r="D29" s="54">
        <v>68.42</v>
      </c>
      <c r="E29" s="238">
        <v>43.18</v>
      </c>
      <c r="G29" s="180"/>
      <c r="H29" s="37"/>
      <c r="I29" s="158"/>
      <c r="J29" s="158"/>
      <c r="K29" s="158"/>
    </row>
    <row r="30" spans="1:11">
      <c r="A30" s="225">
        <v>11</v>
      </c>
      <c r="B30" s="234">
        <f t="shared" si="5"/>
        <v>102</v>
      </c>
      <c r="C30" s="237">
        <v>25.1</v>
      </c>
      <c r="D30" s="54">
        <v>83.12</v>
      </c>
      <c r="E30" s="238">
        <v>55.09</v>
      </c>
      <c r="G30" s="180"/>
      <c r="H30" s="37"/>
      <c r="I30" s="158"/>
      <c r="J30" s="158"/>
      <c r="K30" s="158"/>
    </row>
    <row r="31" spans="1:11">
      <c r="A31" s="225">
        <v>12</v>
      </c>
      <c r="B31" s="234">
        <f t="shared" si="5"/>
        <v>102</v>
      </c>
      <c r="C31" s="237">
        <v>21.91</v>
      </c>
      <c r="D31" s="54">
        <v>54.39</v>
      </c>
      <c r="E31" s="238">
        <v>60.61</v>
      </c>
      <c r="G31" s="180"/>
      <c r="H31" s="37"/>
      <c r="I31" s="158"/>
      <c r="J31" s="158"/>
      <c r="K31" s="158"/>
    </row>
    <row r="32" spans="1:11">
      <c r="A32" s="225">
        <v>13</v>
      </c>
      <c r="B32" s="234">
        <f t="shared" si="5"/>
        <v>102</v>
      </c>
      <c r="C32" s="237">
        <v>45.2</v>
      </c>
      <c r="D32" s="236">
        <v>70.38</v>
      </c>
      <c r="E32" s="238">
        <v>30.580000000000002</v>
      </c>
      <c r="G32" s="180"/>
      <c r="H32" s="37"/>
      <c r="I32" s="158"/>
      <c r="J32" s="158"/>
      <c r="K32" s="158"/>
    </row>
    <row r="33" spans="1:16">
      <c r="A33" s="225">
        <v>14</v>
      </c>
      <c r="B33" s="234">
        <f t="shared" si="5"/>
        <v>102</v>
      </c>
      <c r="C33" s="237">
        <v>31.2</v>
      </c>
      <c r="D33" s="236">
        <v>100.10000000000001</v>
      </c>
      <c r="E33" s="238">
        <v>50.83</v>
      </c>
      <c r="G33" s="180"/>
      <c r="H33" s="37"/>
      <c r="I33" s="158"/>
      <c r="J33" s="158"/>
      <c r="K33" s="158"/>
    </row>
    <row r="34" spans="1:16" ht="15.75" thickBot="1">
      <c r="A34" s="225">
        <v>15</v>
      </c>
      <c r="B34" s="234">
        <f t="shared" si="5"/>
        <v>102</v>
      </c>
      <c r="C34" s="245">
        <v>41.5</v>
      </c>
      <c r="D34" s="273">
        <v>83.72</v>
      </c>
      <c r="E34" s="274">
        <v>59.120000000000005</v>
      </c>
      <c r="G34" s="180"/>
      <c r="H34" s="37"/>
      <c r="I34" s="158"/>
      <c r="J34" s="158"/>
      <c r="K34" s="158"/>
    </row>
    <row r="35" spans="1:16">
      <c r="A35" s="225">
        <v>1</v>
      </c>
      <c r="B35" s="233">
        <v>103</v>
      </c>
      <c r="C35" s="271">
        <v>49</v>
      </c>
      <c r="D35" s="203">
        <v>56.98</v>
      </c>
      <c r="E35" s="272">
        <v>34.6</v>
      </c>
      <c r="G35" s="180"/>
      <c r="H35" s="37"/>
      <c r="I35" s="158"/>
      <c r="J35" s="158"/>
      <c r="K35" s="158"/>
    </row>
    <row r="36" spans="1:16">
      <c r="A36" s="225">
        <v>2</v>
      </c>
      <c r="B36" s="234">
        <f>B35</f>
        <v>103</v>
      </c>
      <c r="C36" s="237">
        <v>39.69</v>
      </c>
      <c r="D36" s="54">
        <v>42.34</v>
      </c>
      <c r="E36" s="238">
        <v>70.739999999999995</v>
      </c>
      <c r="G36" s="180"/>
      <c r="H36" s="37"/>
      <c r="I36" s="158"/>
      <c r="J36" s="158"/>
      <c r="K36" s="158"/>
    </row>
    <row r="37" spans="1:16">
      <c r="A37" s="225">
        <v>3</v>
      </c>
      <c r="B37" s="234">
        <f t="shared" ref="B37:B49" si="6">B36</f>
        <v>103</v>
      </c>
      <c r="C37" s="237">
        <v>94.05</v>
      </c>
      <c r="D37" s="54">
        <v>70.39</v>
      </c>
      <c r="E37" s="238">
        <v>73.95</v>
      </c>
    </row>
    <row r="38" spans="1:16">
      <c r="A38" s="225">
        <v>4</v>
      </c>
      <c r="B38" s="234">
        <f t="shared" si="6"/>
        <v>103</v>
      </c>
      <c r="C38" s="237">
        <v>47.93</v>
      </c>
      <c r="D38" s="54">
        <v>48.32</v>
      </c>
      <c r="E38" s="238">
        <v>54.68</v>
      </c>
    </row>
    <row r="39" spans="1:16">
      <c r="A39" s="225">
        <v>5</v>
      </c>
      <c r="B39" s="234">
        <f t="shared" si="6"/>
        <v>103</v>
      </c>
      <c r="C39" s="237">
        <v>60.39</v>
      </c>
      <c r="D39" s="54">
        <v>43.19</v>
      </c>
      <c r="E39" s="238">
        <v>61.9</v>
      </c>
    </row>
    <row r="40" spans="1:16">
      <c r="A40" s="225">
        <v>6</v>
      </c>
      <c r="B40" s="234">
        <f t="shared" si="6"/>
        <v>103</v>
      </c>
      <c r="C40" s="237">
        <v>26.78</v>
      </c>
      <c r="D40" s="54">
        <v>78.239999999999995</v>
      </c>
      <c r="E40" s="238">
        <v>40.049999999999997</v>
      </c>
      <c r="M40" s="183"/>
      <c r="N40" s="183"/>
      <c r="O40" s="183"/>
      <c r="P40" s="183"/>
    </row>
    <row r="41" spans="1:16">
      <c r="A41" s="225">
        <v>7</v>
      </c>
      <c r="B41" s="234">
        <f t="shared" si="6"/>
        <v>103</v>
      </c>
      <c r="C41" s="237">
        <v>50.67</v>
      </c>
      <c r="D41" s="54">
        <v>70.150000000000006</v>
      </c>
      <c r="E41" s="238">
        <v>53.95</v>
      </c>
      <c r="M41" s="183"/>
      <c r="N41" s="183"/>
      <c r="O41" s="183"/>
      <c r="P41" s="183"/>
    </row>
    <row r="42" spans="1:16">
      <c r="A42" s="225">
        <v>8</v>
      </c>
      <c r="B42" s="234">
        <f t="shared" si="6"/>
        <v>103</v>
      </c>
      <c r="C42" s="237">
        <v>39.799999999999997</v>
      </c>
      <c r="D42" s="54">
        <v>64.16</v>
      </c>
      <c r="E42" s="238">
        <v>57.84</v>
      </c>
    </row>
    <row r="43" spans="1:16">
      <c r="A43" s="225">
        <v>9</v>
      </c>
      <c r="B43" s="234">
        <f t="shared" si="6"/>
        <v>103</v>
      </c>
      <c r="C43" s="237">
        <v>44.02</v>
      </c>
      <c r="D43" s="54">
        <v>46.75</v>
      </c>
      <c r="E43" s="238">
        <v>54.79</v>
      </c>
    </row>
    <row r="44" spans="1:16">
      <c r="A44" s="225">
        <v>10</v>
      </c>
      <c r="B44" s="234">
        <f t="shared" si="6"/>
        <v>103</v>
      </c>
      <c r="C44" s="237">
        <v>30.52</v>
      </c>
      <c r="D44" s="54">
        <v>70.78</v>
      </c>
      <c r="E44" s="238">
        <v>46.03</v>
      </c>
    </row>
    <row r="45" spans="1:16">
      <c r="A45" s="225">
        <v>11</v>
      </c>
      <c r="B45" s="234">
        <f t="shared" si="6"/>
        <v>103</v>
      </c>
      <c r="C45" s="237">
        <v>21.76</v>
      </c>
      <c r="D45" s="54">
        <v>68.81</v>
      </c>
      <c r="E45" s="238">
        <v>61.36</v>
      </c>
    </row>
    <row r="46" spans="1:16">
      <c r="A46" s="225">
        <v>12</v>
      </c>
      <c r="B46" s="234">
        <f t="shared" si="6"/>
        <v>103</v>
      </c>
      <c r="C46" s="237">
        <v>44.67</v>
      </c>
      <c r="D46" s="54">
        <v>55.28</v>
      </c>
      <c r="E46" s="238">
        <v>54.39</v>
      </c>
    </row>
    <row r="47" spans="1:16">
      <c r="A47" s="225">
        <v>13</v>
      </c>
      <c r="B47" s="234">
        <f t="shared" si="6"/>
        <v>103</v>
      </c>
      <c r="C47" s="237">
        <v>46.12</v>
      </c>
      <c r="D47" s="54">
        <v>45.85</v>
      </c>
      <c r="E47" s="238">
        <v>47.45</v>
      </c>
    </row>
    <row r="48" spans="1:16">
      <c r="A48" s="225">
        <v>14</v>
      </c>
      <c r="B48" s="234">
        <f t="shared" si="6"/>
        <v>103</v>
      </c>
      <c r="C48" s="237">
        <v>62.78</v>
      </c>
      <c r="D48" s="54">
        <v>61.71</v>
      </c>
      <c r="E48" s="238">
        <v>57.69</v>
      </c>
    </row>
    <row r="49" spans="1:5" ht="15.75" thickBot="1">
      <c r="A49" s="225">
        <v>15</v>
      </c>
      <c r="B49" s="234">
        <f t="shared" si="6"/>
        <v>103</v>
      </c>
      <c r="C49" s="275">
        <v>34.5</v>
      </c>
      <c r="D49" s="55">
        <v>54.88</v>
      </c>
      <c r="E49" s="241">
        <v>65.73</v>
      </c>
    </row>
    <row r="50" spans="1:5">
      <c r="A50" s="225">
        <v>1</v>
      </c>
      <c r="B50" s="233">
        <v>201</v>
      </c>
      <c r="C50" s="242">
        <v>58.223999999999997</v>
      </c>
      <c r="D50" s="243">
        <v>50.62</v>
      </c>
      <c r="E50" s="244">
        <v>43.78</v>
      </c>
    </row>
    <row r="51" spans="1:5">
      <c r="A51" s="225">
        <v>2</v>
      </c>
      <c r="B51" s="234">
        <f>B50</f>
        <v>201</v>
      </c>
      <c r="C51" s="237">
        <v>26.402000000000001</v>
      </c>
      <c r="D51" s="54">
        <v>58.89</v>
      </c>
      <c r="E51" s="238">
        <v>53.74</v>
      </c>
    </row>
    <row r="52" spans="1:5">
      <c r="A52" s="225">
        <v>3</v>
      </c>
      <c r="B52" s="234">
        <f t="shared" ref="B52:B64" si="7">B51</f>
        <v>201</v>
      </c>
      <c r="C52" s="237">
        <v>33.167999999999999</v>
      </c>
      <c r="D52" s="54">
        <v>76.05</v>
      </c>
      <c r="E52" s="238">
        <v>80.13</v>
      </c>
    </row>
    <row r="53" spans="1:5">
      <c r="A53" s="225">
        <v>4</v>
      </c>
      <c r="B53" s="234">
        <f t="shared" si="7"/>
        <v>201</v>
      </c>
      <c r="C53" s="237">
        <v>56.15</v>
      </c>
      <c r="D53" s="54">
        <v>40.659999999999997</v>
      </c>
      <c r="E53" s="238">
        <v>62.74</v>
      </c>
    </row>
    <row r="54" spans="1:5">
      <c r="A54" s="225">
        <v>5</v>
      </c>
      <c r="B54" s="234">
        <f t="shared" si="7"/>
        <v>201</v>
      </c>
      <c r="C54" s="237">
        <v>23.61</v>
      </c>
      <c r="D54" s="54">
        <v>56.77</v>
      </c>
      <c r="E54" s="238">
        <v>53.87</v>
      </c>
    </row>
    <row r="55" spans="1:5">
      <c r="A55" s="225">
        <v>6</v>
      </c>
      <c r="B55" s="234">
        <f t="shared" si="7"/>
        <v>201</v>
      </c>
      <c r="C55" s="237">
        <v>32.539000000000001</v>
      </c>
      <c r="D55" s="54">
        <v>51.79</v>
      </c>
      <c r="E55" s="238">
        <v>62.49</v>
      </c>
    </row>
    <row r="56" spans="1:5">
      <c r="A56" s="225">
        <v>7</v>
      </c>
      <c r="B56" s="234">
        <f t="shared" si="7"/>
        <v>201</v>
      </c>
      <c r="C56" s="237">
        <v>33.685000000000002</v>
      </c>
      <c r="D56" s="54">
        <v>70.25</v>
      </c>
      <c r="E56" s="238">
        <v>67.510000000000005</v>
      </c>
    </row>
    <row r="57" spans="1:5">
      <c r="A57" s="225">
        <v>8</v>
      </c>
      <c r="B57" s="234">
        <f t="shared" si="7"/>
        <v>201</v>
      </c>
      <c r="C57" s="237">
        <v>21.006</v>
      </c>
      <c r="D57" s="54">
        <v>51.93</v>
      </c>
      <c r="E57" s="238">
        <v>47.86</v>
      </c>
    </row>
    <row r="58" spans="1:5">
      <c r="A58" s="225">
        <v>9</v>
      </c>
      <c r="B58" s="234">
        <f t="shared" si="7"/>
        <v>201</v>
      </c>
      <c r="C58" s="237">
        <v>36.040999999999997</v>
      </c>
      <c r="D58" s="54">
        <v>59.08</v>
      </c>
      <c r="E58" s="238">
        <v>46</v>
      </c>
    </row>
    <row r="59" spans="1:5">
      <c r="A59" s="225">
        <v>10</v>
      </c>
      <c r="B59" s="234">
        <f t="shared" si="7"/>
        <v>201</v>
      </c>
      <c r="C59" s="237">
        <v>20.888999999999999</v>
      </c>
      <c r="D59" s="54">
        <v>55.24</v>
      </c>
      <c r="E59" s="238">
        <v>50.85</v>
      </c>
    </row>
    <row r="60" spans="1:5">
      <c r="A60" s="225">
        <v>11</v>
      </c>
      <c r="B60" s="234">
        <f t="shared" si="7"/>
        <v>201</v>
      </c>
      <c r="C60" s="237">
        <v>20.9</v>
      </c>
      <c r="D60" s="54">
        <v>68.03</v>
      </c>
      <c r="E60" s="238">
        <v>64.989999999999995</v>
      </c>
    </row>
    <row r="61" spans="1:5">
      <c r="A61" s="225">
        <v>12</v>
      </c>
      <c r="B61" s="234">
        <f t="shared" si="7"/>
        <v>201</v>
      </c>
      <c r="C61" s="237">
        <v>18.29</v>
      </c>
      <c r="D61" s="54">
        <v>65.489999999999995</v>
      </c>
      <c r="E61" s="238">
        <v>69.5</v>
      </c>
    </row>
    <row r="62" spans="1:5">
      <c r="A62" s="225">
        <v>13</v>
      </c>
      <c r="B62" s="234">
        <f t="shared" si="7"/>
        <v>201</v>
      </c>
      <c r="C62" s="239">
        <v>28.48</v>
      </c>
      <c r="D62" s="54">
        <v>45.27</v>
      </c>
      <c r="E62" s="238">
        <v>76.680000000000007</v>
      </c>
    </row>
    <row r="63" spans="1:5">
      <c r="A63" s="225">
        <v>14</v>
      </c>
      <c r="B63" s="234">
        <f t="shared" si="7"/>
        <v>201</v>
      </c>
      <c r="C63" s="239">
        <v>18.370999999999999</v>
      </c>
      <c r="D63" s="54">
        <v>60.29</v>
      </c>
      <c r="E63" s="238">
        <v>60.6</v>
      </c>
    </row>
    <row r="64" spans="1:5" ht="15.75" thickBot="1">
      <c r="A64" s="225">
        <v>15</v>
      </c>
      <c r="B64" s="234">
        <f t="shared" si="7"/>
        <v>201</v>
      </c>
      <c r="C64" s="245">
        <v>48.390999999999998</v>
      </c>
      <c r="D64" s="276">
        <v>38.75</v>
      </c>
      <c r="E64" s="274">
        <v>68.44</v>
      </c>
    </row>
    <row r="65" spans="1:5">
      <c r="A65" s="225">
        <v>1</v>
      </c>
      <c r="B65" s="233">
        <v>202</v>
      </c>
      <c r="C65" s="271">
        <v>40.479999999999997</v>
      </c>
      <c r="D65" s="203">
        <v>33.78</v>
      </c>
      <c r="E65" s="272">
        <v>78.27</v>
      </c>
    </row>
    <row r="66" spans="1:5">
      <c r="A66" s="225">
        <v>2</v>
      </c>
      <c r="B66" s="234">
        <f>B65</f>
        <v>202</v>
      </c>
      <c r="C66" s="237">
        <v>17.489999999999998</v>
      </c>
      <c r="D66" s="54">
        <v>55.82</v>
      </c>
      <c r="E66" s="238">
        <v>89.75</v>
      </c>
    </row>
    <row r="67" spans="1:5">
      <c r="A67" s="225">
        <v>3</v>
      </c>
      <c r="B67" s="234">
        <f t="shared" ref="B67:B79" si="8">B66</f>
        <v>202</v>
      </c>
      <c r="C67" s="237">
        <v>54.89</v>
      </c>
      <c r="D67" s="54">
        <v>41.17</v>
      </c>
      <c r="E67" s="238">
        <v>94.52</v>
      </c>
    </row>
    <row r="68" spans="1:5">
      <c r="A68" s="225">
        <v>4</v>
      </c>
      <c r="B68" s="234">
        <f t="shared" si="8"/>
        <v>202</v>
      </c>
      <c r="C68" s="237">
        <v>29.56</v>
      </c>
      <c r="D68" s="54">
        <v>43.98</v>
      </c>
      <c r="E68" s="238">
        <v>75.989999999999995</v>
      </c>
    </row>
    <row r="69" spans="1:5">
      <c r="A69" s="225">
        <v>5</v>
      </c>
      <c r="B69" s="234">
        <f t="shared" si="8"/>
        <v>202</v>
      </c>
      <c r="C69" s="237">
        <v>24.76</v>
      </c>
      <c r="D69" s="54">
        <v>64.14</v>
      </c>
      <c r="E69" s="238">
        <v>35.270000000000003</v>
      </c>
    </row>
    <row r="70" spans="1:5">
      <c r="A70" s="225">
        <v>6</v>
      </c>
      <c r="B70" s="234">
        <f t="shared" si="8"/>
        <v>202</v>
      </c>
      <c r="C70" s="237">
        <v>31.11</v>
      </c>
      <c r="D70" s="54">
        <v>63.71</v>
      </c>
      <c r="E70" s="238">
        <v>93.41</v>
      </c>
    </row>
    <row r="71" spans="1:5">
      <c r="A71" s="225">
        <v>7</v>
      </c>
      <c r="B71" s="234">
        <f t="shared" si="8"/>
        <v>202</v>
      </c>
      <c r="C71" s="237">
        <v>7.38</v>
      </c>
      <c r="D71" s="54">
        <v>29.42</v>
      </c>
      <c r="E71" s="238">
        <v>47.42</v>
      </c>
    </row>
    <row r="72" spans="1:5">
      <c r="A72" s="225">
        <v>8</v>
      </c>
      <c r="B72" s="234">
        <f t="shared" si="8"/>
        <v>202</v>
      </c>
      <c r="C72" s="237">
        <v>19.38</v>
      </c>
      <c r="D72" s="54">
        <v>41.730000000000004</v>
      </c>
      <c r="E72" s="238">
        <v>71.28</v>
      </c>
    </row>
    <row r="73" spans="1:5">
      <c r="A73" s="225">
        <v>9</v>
      </c>
      <c r="B73" s="234">
        <f t="shared" si="8"/>
        <v>202</v>
      </c>
      <c r="C73" s="237">
        <v>16.71</v>
      </c>
      <c r="D73" s="54">
        <v>56.31</v>
      </c>
      <c r="E73" s="238">
        <v>88.99</v>
      </c>
    </row>
    <row r="74" spans="1:5">
      <c r="A74" s="225">
        <v>10</v>
      </c>
      <c r="B74" s="234">
        <f t="shared" si="8"/>
        <v>202</v>
      </c>
      <c r="C74" s="237">
        <v>24.32</v>
      </c>
      <c r="D74" s="54">
        <v>39.51</v>
      </c>
      <c r="E74" s="238">
        <v>102.55</v>
      </c>
    </row>
    <row r="75" spans="1:5">
      <c r="A75" s="225">
        <v>11</v>
      </c>
      <c r="B75" s="234">
        <f t="shared" si="8"/>
        <v>202</v>
      </c>
      <c r="C75" s="237">
        <v>18.559999999999999</v>
      </c>
      <c r="D75" s="54">
        <v>42.93</v>
      </c>
      <c r="E75" s="238">
        <v>106.51</v>
      </c>
    </row>
    <row r="76" spans="1:5">
      <c r="A76" s="225">
        <v>12</v>
      </c>
      <c r="B76" s="234">
        <f t="shared" si="8"/>
        <v>202</v>
      </c>
      <c r="C76" s="237">
        <v>38.97</v>
      </c>
      <c r="D76" s="54">
        <v>52.49</v>
      </c>
      <c r="E76" s="238">
        <v>43.94</v>
      </c>
    </row>
    <row r="77" spans="1:5">
      <c r="A77" s="225">
        <v>13</v>
      </c>
      <c r="B77" s="234">
        <f t="shared" si="8"/>
        <v>202</v>
      </c>
      <c r="C77" s="237">
        <v>41.52</v>
      </c>
      <c r="D77" s="54">
        <v>61.35</v>
      </c>
      <c r="E77" s="238">
        <v>76.92</v>
      </c>
    </row>
    <row r="78" spans="1:5">
      <c r="A78" s="225">
        <v>14</v>
      </c>
      <c r="B78" s="234">
        <f t="shared" si="8"/>
        <v>202</v>
      </c>
      <c r="C78" s="237">
        <v>29.1</v>
      </c>
      <c r="D78" s="54">
        <v>37.68</v>
      </c>
      <c r="E78" s="238">
        <v>71.040000000000006</v>
      </c>
    </row>
    <row r="79" spans="1:5" ht="15.75" thickBot="1">
      <c r="A79" s="225">
        <v>15</v>
      </c>
      <c r="B79" s="234">
        <f t="shared" si="8"/>
        <v>202</v>
      </c>
      <c r="C79" s="240">
        <v>28.15</v>
      </c>
      <c r="D79" s="55">
        <v>47.51</v>
      </c>
      <c r="E79" s="241">
        <v>27.28</v>
      </c>
    </row>
    <row r="80" spans="1:5">
      <c r="A80" s="225">
        <v>1</v>
      </c>
      <c r="B80" s="233">
        <v>203</v>
      </c>
      <c r="C80" s="242">
        <v>29.68</v>
      </c>
      <c r="D80" s="243">
        <v>37.840000000000003</v>
      </c>
      <c r="E80" s="277">
        <v>76.301000000000002</v>
      </c>
    </row>
    <row r="81" spans="1:5">
      <c r="A81" s="225">
        <v>2</v>
      </c>
      <c r="B81" s="234">
        <f>B80</f>
        <v>203</v>
      </c>
      <c r="C81" s="237">
        <v>27.02</v>
      </c>
      <c r="D81" s="54">
        <v>57.13</v>
      </c>
      <c r="E81" s="188">
        <v>64.47</v>
      </c>
    </row>
    <row r="82" spans="1:5">
      <c r="A82" s="225">
        <v>3</v>
      </c>
      <c r="B82" s="234">
        <f t="shared" ref="B82:B94" si="9">B81</f>
        <v>203</v>
      </c>
      <c r="C82" s="237">
        <v>37.43</v>
      </c>
      <c r="D82" s="54">
        <v>46.1</v>
      </c>
      <c r="E82" s="188">
        <v>47.65</v>
      </c>
    </row>
    <row r="83" spans="1:5">
      <c r="A83" s="225">
        <v>4</v>
      </c>
      <c r="B83" s="234">
        <f t="shared" si="9"/>
        <v>203</v>
      </c>
      <c r="C83" s="237">
        <v>43.4</v>
      </c>
      <c r="D83" s="54">
        <v>67.650000000000006</v>
      </c>
      <c r="E83" s="188">
        <v>74.930000000000007</v>
      </c>
    </row>
    <row r="84" spans="1:5">
      <c r="A84" s="225">
        <v>5</v>
      </c>
      <c r="B84" s="234">
        <f t="shared" si="9"/>
        <v>203</v>
      </c>
      <c r="C84" s="237">
        <v>30.81</v>
      </c>
      <c r="D84" s="54">
        <v>34.42</v>
      </c>
      <c r="E84" s="188">
        <v>79.69</v>
      </c>
    </row>
    <row r="85" spans="1:5">
      <c r="A85" s="225">
        <v>6</v>
      </c>
      <c r="B85" s="234">
        <f t="shared" si="9"/>
        <v>203</v>
      </c>
      <c r="C85" s="237">
        <v>27.65</v>
      </c>
      <c r="D85" s="54">
        <v>89.95</v>
      </c>
      <c r="E85" s="188">
        <v>60.787999999999997</v>
      </c>
    </row>
    <row r="86" spans="1:5">
      <c r="A86" s="225">
        <v>7</v>
      </c>
      <c r="B86" s="234">
        <f t="shared" si="9"/>
        <v>203</v>
      </c>
      <c r="C86" s="237">
        <v>8.51</v>
      </c>
      <c r="D86" s="54">
        <v>43.27</v>
      </c>
      <c r="E86" s="188">
        <v>72.88</v>
      </c>
    </row>
    <row r="87" spans="1:5">
      <c r="A87" s="225">
        <v>8</v>
      </c>
      <c r="B87" s="234">
        <f t="shared" si="9"/>
        <v>203</v>
      </c>
      <c r="C87" s="237">
        <v>40.32</v>
      </c>
      <c r="D87" s="54">
        <v>43.92</v>
      </c>
      <c r="E87" s="238">
        <v>82.03</v>
      </c>
    </row>
    <row r="88" spans="1:5">
      <c r="A88" s="225">
        <v>9</v>
      </c>
      <c r="B88" s="234">
        <f t="shared" si="9"/>
        <v>203</v>
      </c>
      <c r="C88" s="237">
        <v>22.28</v>
      </c>
      <c r="D88" s="54">
        <v>49.88</v>
      </c>
      <c r="E88" s="238">
        <v>50.35</v>
      </c>
    </row>
    <row r="89" spans="1:5">
      <c r="A89" s="225">
        <v>10</v>
      </c>
      <c r="B89" s="234">
        <f t="shared" si="9"/>
        <v>203</v>
      </c>
      <c r="C89" s="237">
        <v>34.54</v>
      </c>
      <c r="D89" s="54">
        <v>46.03</v>
      </c>
      <c r="E89" s="238">
        <v>62.17</v>
      </c>
    </row>
    <row r="90" spans="1:5">
      <c r="A90" s="225">
        <v>11</v>
      </c>
      <c r="B90" s="234">
        <f t="shared" si="9"/>
        <v>203</v>
      </c>
      <c r="C90" s="237">
        <v>19.34</v>
      </c>
      <c r="D90" s="54">
        <v>57.28</v>
      </c>
      <c r="E90" s="238">
        <v>79.23</v>
      </c>
    </row>
    <row r="91" spans="1:5">
      <c r="A91" s="225">
        <v>12</v>
      </c>
      <c r="B91" s="234">
        <f t="shared" si="9"/>
        <v>203</v>
      </c>
      <c r="C91" s="237">
        <v>30.2</v>
      </c>
      <c r="D91" s="54">
        <v>60.410000000000004</v>
      </c>
      <c r="E91" s="238">
        <v>59.33</v>
      </c>
    </row>
    <row r="92" spans="1:5">
      <c r="A92" s="225">
        <v>13</v>
      </c>
      <c r="B92" s="234">
        <f t="shared" si="9"/>
        <v>203</v>
      </c>
      <c r="C92" s="237">
        <v>25.23</v>
      </c>
      <c r="D92" s="54">
        <v>80.92</v>
      </c>
      <c r="E92" s="238">
        <v>78.290000000000006</v>
      </c>
    </row>
    <row r="93" spans="1:5">
      <c r="A93" s="225">
        <v>14</v>
      </c>
      <c r="B93" s="234">
        <f t="shared" si="9"/>
        <v>203</v>
      </c>
      <c r="C93" s="237">
        <v>33.1</v>
      </c>
      <c r="D93" s="54">
        <v>45.1</v>
      </c>
      <c r="E93" s="238">
        <v>61.6</v>
      </c>
    </row>
    <row r="94" spans="1:5" ht="15.75" thickBot="1">
      <c r="A94" s="225">
        <v>15</v>
      </c>
      <c r="B94" s="234">
        <f t="shared" si="9"/>
        <v>203</v>
      </c>
      <c r="C94" s="278">
        <v>41.2</v>
      </c>
      <c r="D94" s="276">
        <v>46.59</v>
      </c>
      <c r="E94" s="274">
        <v>71.7</v>
      </c>
    </row>
    <row r="95" spans="1:5">
      <c r="A95" s="225">
        <v>1</v>
      </c>
      <c r="B95" s="233">
        <v>301</v>
      </c>
      <c r="C95" s="271">
        <v>62.04</v>
      </c>
      <c r="D95" s="203">
        <v>63.03</v>
      </c>
      <c r="E95" s="272">
        <v>48.69</v>
      </c>
    </row>
    <row r="96" spans="1:5">
      <c r="A96" s="225">
        <v>2</v>
      </c>
      <c r="B96" s="234">
        <f>B95</f>
        <v>301</v>
      </c>
      <c r="C96" s="237">
        <v>30.01</v>
      </c>
      <c r="D96" s="54">
        <v>70.819999999999993</v>
      </c>
      <c r="E96" s="238">
        <v>51.43</v>
      </c>
    </row>
    <row r="97" spans="1:5">
      <c r="A97" s="225">
        <v>3</v>
      </c>
      <c r="B97" s="234">
        <f t="shared" ref="B97:B109" si="10">B96</f>
        <v>301</v>
      </c>
      <c r="C97" s="237">
        <v>43.54</v>
      </c>
      <c r="D97" s="54">
        <v>65.84</v>
      </c>
      <c r="E97" s="238">
        <v>53.43</v>
      </c>
    </row>
    <row r="98" spans="1:5">
      <c r="A98" s="225">
        <v>4</v>
      </c>
      <c r="B98" s="234">
        <f t="shared" si="10"/>
        <v>301</v>
      </c>
      <c r="C98" s="237">
        <v>58.16</v>
      </c>
      <c r="D98" s="54">
        <v>56.72</v>
      </c>
      <c r="E98" s="238">
        <v>49.92</v>
      </c>
    </row>
    <row r="99" spans="1:5">
      <c r="A99" s="225">
        <v>5</v>
      </c>
      <c r="B99" s="234">
        <f t="shared" si="10"/>
        <v>301</v>
      </c>
      <c r="C99" s="237">
        <v>36.79</v>
      </c>
      <c r="D99" s="54">
        <v>68.34</v>
      </c>
      <c r="E99" s="238">
        <v>60.2</v>
      </c>
    </row>
    <row r="100" spans="1:5">
      <c r="A100" s="225">
        <v>6</v>
      </c>
      <c r="B100" s="234">
        <f t="shared" si="10"/>
        <v>301</v>
      </c>
      <c r="C100" s="237">
        <v>40.32</v>
      </c>
      <c r="D100" s="54">
        <v>66.25</v>
      </c>
      <c r="E100" s="238">
        <v>78.53</v>
      </c>
    </row>
    <row r="101" spans="1:5">
      <c r="A101" s="225">
        <v>7</v>
      </c>
      <c r="B101" s="234">
        <f t="shared" si="10"/>
        <v>301</v>
      </c>
      <c r="C101" s="237">
        <v>33.090000000000003</v>
      </c>
      <c r="D101" s="54">
        <v>62.45</v>
      </c>
      <c r="E101" s="238">
        <v>68.069999999999993</v>
      </c>
    </row>
    <row r="102" spans="1:5">
      <c r="A102" s="225">
        <v>8</v>
      </c>
      <c r="B102" s="234">
        <f t="shared" si="10"/>
        <v>301</v>
      </c>
      <c r="C102" s="237">
        <v>33.78</v>
      </c>
      <c r="D102" s="54">
        <v>61.93</v>
      </c>
      <c r="E102" s="238">
        <v>56.94</v>
      </c>
    </row>
    <row r="103" spans="1:5">
      <c r="A103" s="225">
        <v>9</v>
      </c>
      <c r="B103" s="234">
        <f t="shared" si="10"/>
        <v>301</v>
      </c>
      <c r="C103" s="237">
        <v>40.54</v>
      </c>
      <c r="D103" s="54">
        <v>74.95</v>
      </c>
      <c r="E103" s="238">
        <v>65</v>
      </c>
    </row>
    <row r="104" spans="1:5">
      <c r="A104" s="225">
        <v>10</v>
      </c>
      <c r="B104" s="234">
        <f t="shared" si="10"/>
        <v>301</v>
      </c>
      <c r="C104" s="237">
        <v>39.479999999999997</v>
      </c>
      <c r="D104" s="54">
        <v>62.33</v>
      </c>
      <c r="E104" s="238">
        <v>64.790000000000006</v>
      </c>
    </row>
    <row r="105" spans="1:5">
      <c r="A105" s="225">
        <v>11</v>
      </c>
      <c r="B105" s="234">
        <f t="shared" si="10"/>
        <v>301</v>
      </c>
      <c r="C105" s="237">
        <v>42.54</v>
      </c>
      <c r="D105" s="54">
        <v>63.230000000000004</v>
      </c>
      <c r="E105" s="238">
        <v>58.06</v>
      </c>
    </row>
    <row r="106" spans="1:5">
      <c r="A106" s="225">
        <v>12</v>
      </c>
      <c r="B106" s="234">
        <f t="shared" si="10"/>
        <v>301</v>
      </c>
      <c r="C106" s="237">
        <v>64.89</v>
      </c>
      <c r="D106" s="54">
        <v>63.86</v>
      </c>
      <c r="E106" s="238">
        <v>50.57</v>
      </c>
    </row>
    <row r="107" spans="1:5">
      <c r="A107" s="225">
        <v>13</v>
      </c>
      <c r="B107" s="234">
        <f t="shared" si="10"/>
        <v>301</v>
      </c>
      <c r="C107" s="237">
        <v>34.03</v>
      </c>
      <c r="D107" s="54">
        <v>61.84</v>
      </c>
      <c r="E107" s="238">
        <v>65.260000000000005</v>
      </c>
    </row>
    <row r="108" spans="1:5">
      <c r="A108" s="225">
        <v>14</v>
      </c>
      <c r="B108" s="234">
        <f t="shared" si="10"/>
        <v>301</v>
      </c>
      <c r="C108" s="237">
        <v>34.49</v>
      </c>
      <c r="D108" s="54">
        <v>67.739999999999995</v>
      </c>
      <c r="E108" s="238">
        <v>48.84</v>
      </c>
    </row>
    <row r="109" spans="1:5" ht="15.75" thickBot="1">
      <c r="A109" s="225">
        <v>15</v>
      </c>
      <c r="B109" s="234">
        <f t="shared" si="10"/>
        <v>301</v>
      </c>
      <c r="C109" s="275">
        <v>65.2</v>
      </c>
      <c r="D109" s="55">
        <v>62.36</v>
      </c>
      <c r="E109" s="241">
        <v>56.28</v>
      </c>
    </row>
    <row r="110" spans="1:5" ht="15.75" thickBot="1">
      <c r="A110" s="225">
        <v>1</v>
      </c>
      <c r="B110" s="233">
        <v>302</v>
      </c>
      <c r="C110" s="242">
        <v>27.68</v>
      </c>
      <c r="D110" s="243">
        <v>40.119999999999997</v>
      </c>
      <c r="E110" s="244">
        <v>66.23</v>
      </c>
    </row>
    <row r="111" spans="1:5" ht="15.75" thickBot="1">
      <c r="A111" s="225">
        <v>2</v>
      </c>
      <c r="B111" s="233">
        <f>B110</f>
        <v>302</v>
      </c>
      <c r="C111" s="237">
        <v>12.65</v>
      </c>
      <c r="D111" s="54">
        <v>96.067999999999998</v>
      </c>
      <c r="E111" s="238">
        <v>60.5</v>
      </c>
    </row>
    <row r="112" spans="1:5" ht="15.75" thickBot="1">
      <c r="A112" s="225">
        <v>3</v>
      </c>
      <c r="B112" s="233">
        <f t="shared" ref="B112:B124" si="11">B111</f>
        <v>302</v>
      </c>
      <c r="C112" s="237">
        <v>39.18</v>
      </c>
      <c r="D112" s="54">
        <v>53.31</v>
      </c>
      <c r="E112" s="238">
        <v>72.7</v>
      </c>
    </row>
    <row r="113" spans="1:5" ht="15.75" thickBot="1">
      <c r="A113" s="225">
        <v>4</v>
      </c>
      <c r="B113" s="233">
        <f t="shared" si="11"/>
        <v>302</v>
      </c>
      <c r="C113" s="237">
        <v>7.21</v>
      </c>
      <c r="D113" s="54">
        <v>66.959999999999994</v>
      </c>
      <c r="E113" s="238">
        <v>73.58</v>
      </c>
    </row>
    <row r="114" spans="1:5" ht="15.75" thickBot="1">
      <c r="A114" s="225">
        <v>5</v>
      </c>
      <c r="B114" s="233">
        <f t="shared" si="11"/>
        <v>302</v>
      </c>
      <c r="C114" s="237">
        <v>25.88</v>
      </c>
      <c r="D114" s="54">
        <v>58.74</v>
      </c>
      <c r="E114" s="238">
        <v>96.69</v>
      </c>
    </row>
    <row r="115" spans="1:5" ht="15.75" thickBot="1">
      <c r="A115" s="225">
        <v>6</v>
      </c>
      <c r="B115" s="233">
        <f t="shared" si="11"/>
        <v>302</v>
      </c>
      <c r="C115" s="237">
        <v>24.16</v>
      </c>
      <c r="D115" s="54">
        <v>69.430000000000007</v>
      </c>
      <c r="E115" s="238">
        <v>41.8</v>
      </c>
    </row>
    <row r="116" spans="1:5" ht="15.75" thickBot="1">
      <c r="A116" s="225">
        <v>7</v>
      </c>
      <c r="B116" s="233">
        <f t="shared" si="11"/>
        <v>302</v>
      </c>
      <c r="C116" s="237">
        <v>34.770000000000003</v>
      </c>
      <c r="D116" s="54">
        <v>64.959999999999994</v>
      </c>
      <c r="E116" s="238">
        <v>65.98</v>
      </c>
    </row>
    <row r="117" spans="1:5" ht="15.75" thickBot="1">
      <c r="A117" s="225">
        <v>8</v>
      </c>
      <c r="B117" s="233">
        <f t="shared" si="11"/>
        <v>302</v>
      </c>
      <c r="C117" s="237">
        <v>36.15</v>
      </c>
      <c r="D117" s="54">
        <v>64.61</v>
      </c>
      <c r="E117" s="238">
        <v>78.84</v>
      </c>
    </row>
    <row r="118" spans="1:5" ht="15.75" thickBot="1">
      <c r="A118" s="225">
        <v>9</v>
      </c>
      <c r="B118" s="233">
        <f t="shared" si="11"/>
        <v>302</v>
      </c>
      <c r="C118" s="237">
        <v>37.97</v>
      </c>
      <c r="D118" s="54">
        <v>82.93</v>
      </c>
      <c r="E118" s="238">
        <v>55.120000000000005</v>
      </c>
    </row>
    <row r="119" spans="1:5" ht="15.75" thickBot="1">
      <c r="A119" s="225">
        <v>10</v>
      </c>
      <c r="B119" s="233">
        <f t="shared" si="11"/>
        <v>302</v>
      </c>
      <c r="C119" s="237">
        <v>66.900000000000006</v>
      </c>
      <c r="D119" s="54">
        <v>78.960000000000008</v>
      </c>
      <c r="E119" s="238">
        <v>42.78</v>
      </c>
    </row>
    <row r="120" spans="1:5" ht="15.75" thickBot="1">
      <c r="A120" s="225">
        <v>11</v>
      </c>
      <c r="B120" s="233">
        <f t="shared" si="11"/>
        <v>302</v>
      </c>
      <c r="C120" s="237">
        <v>38.380000000000003</v>
      </c>
      <c r="D120" s="54">
        <v>52.160000000000004</v>
      </c>
      <c r="E120" s="238">
        <v>104.57000000000001</v>
      </c>
    </row>
    <row r="121" spans="1:5" ht="15.75" thickBot="1">
      <c r="A121" s="225">
        <v>12</v>
      </c>
      <c r="B121" s="233">
        <f t="shared" si="11"/>
        <v>302</v>
      </c>
      <c r="C121" s="237">
        <v>57.59</v>
      </c>
      <c r="D121" s="54">
        <v>89.39</v>
      </c>
      <c r="E121" s="238">
        <v>54.980000000000004</v>
      </c>
    </row>
    <row r="122" spans="1:5" ht="15.75" thickBot="1">
      <c r="A122" s="225">
        <v>13</v>
      </c>
      <c r="B122" s="233">
        <f t="shared" si="11"/>
        <v>302</v>
      </c>
      <c r="C122" s="237">
        <v>33.44</v>
      </c>
      <c r="D122" s="54">
        <v>45.230000000000004</v>
      </c>
      <c r="E122" s="238">
        <v>69.77</v>
      </c>
    </row>
    <row r="123" spans="1:5" ht="15.75" thickBot="1">
      <c r="A123" s="225">
        <v>14</v>
      </c>
      <c r="B123" s="233">
        <f t="shared" si="11"/>
        <v>302</v>
      </c>
      <c r="C123" s="237">
        <v>24.74</v>
      </c>
      <c r="D123" s="54">
        <v>52.53</v>
      </c>
      <c r="E123" s="238">
        <v>83.41</v>
      </c>
    </row>
    <row r="124" spans="1:5" ht="15.75" thickBot="1">
      <c r="A124" s="225">
        <v>15</v>
      </c>
      <c r="B124" s="233">
        <f t="shared" si="11"/>
        <v>302</v>
      </c>
      <c r="C124" s="245">
        <v>33.33</v>
      </c>
      <c r="D124" s="276">
        <v>48.04</v>
      </c>
      <c r="E124" s="274">
        <v>56.300000000000004</v>
      </c>
    </row>
    <row r="125" spans="1:5" ht="15.75" thickBot="1">
      <c r="A125" s="225">
        <v>1</v>
      </c>
      <c r="B125" s="233">
        <v>303</v>
      </c>
      <c r="C125" s="271">
        <v>30.646000000000001</v>
      </c>
      <c r="D125" s="203">
        <v>69.040000000000006</v>
      </c>
      <c r="E125" s="272">
        <v>62.05</v>
      </c>
    </row>
    <row r="126" spans="1:5" ht="15.75" thickBot="1">
      <c r="A126" s="225">
        <v>2</v>
      </c>
      <c r="B126" s="233">
        <f>B125</f>
        <v>303</v>
      </c>
      <c r="C126" s="237">
        <v>50.625999999999998</v>
      </c>
      <c r="D126" s="54">
        <v>57.41</v>
      </c>
      <c r="E126" s="238">
        <v>55.01</v>
      </c>
    </row>
    <row r="127" spans="1:5" ht="15.75" thickBot="1">
      <c r="A127" s="225">
        <v>3</v>
      </c>
      <c r="B127" s="233">
        <f t="shared" ref="B127:B139" si="12">B126</f>
        <v>303</v>
      </c>
      <c r="C127" s="237">
        <v>34.414000000000001</v>
      </c>
      <c r="D127" s="54">
        <v>49.84</v>
      </c>
      <c r="E127" s="238">
        <v>75.010000000000005</v>
      </c>
    </row>
    <row r="128" spans="1:5" ht="15.75" thickBot="1">
      <c r="A128" s="225">
        <v>4</v>
      </c>
      <c r="B128" s="233">
        <f t="shared" si="12"/>
        <v>303</v>
      </c>
      <c r="C128" s="237">
        <v>38.655999999999999</v>
      </c>
      <c r="D128" s="54">
        <v>80.069999999999993</v>
      </c>
      <c r="E128" s="238">
        <v>69.56</v>
      </c>
    </row>
    <row r="129" spans="1:5" ht="15.75" thickBot="1">
      <c r="A129" s="225">
        <v>5</v>
      </c>
      <c r="B129" s="233">
        <f t="shared" si="12"/>
        <v>303</v>
      </c>
      <c r="C129" s="237">
        <v>32.841000000000001</v>
      </c>
      <c r="D129" s="54">
        <v>68.59</v>
      </c>
      <c r="E129" s="238">
        <v>77.81</v>
      </c>
    </row>
    <row r="130" spans="1:5" ht="15.75" thickBot="1">
      <c r="A130" s="225">
        <v>6</v>
      </c>
      <c r="B130" s="233">
        <f t="shared" si="12"/>
        <v>303</v>
      </c>
      <c r="C130" s="237">
        <v>11.587</v>
      </c>
      <c r="D130" s="54">
        <v>86.94</v>
      </c>
      <c r="E130" s="238">
        <v>87.39</v>
      </c>
    </row>
    <row r="131" spans="1:5" ht="15.75" thickBot="1">
      <c r="A131" s="225">
        <v>7</v>
      </c>
      <c r="B131" s="233">
        <f t="shared" si="12"/>
        <v>303</v>
      </c>
      <c r="C131" s="237">
        <v>10.913</v>
      </c>
      <c r="D131" s="54">
        <v>50.97</v>
      </c>
      <c r="E131" s="238">
        <v>61.51</v>
      </c>
    </row>
    <row r="132" spans="1:5" ht="15.75" thickBot="1">
      <c r="A132" s="225">
        <v>8</v>
      </c>
      <c r="B132" s="233">
        <f t="shared" si="12"/>
        <v>303</v>
      </c>
      <c r="C132" s="237">
        <v>34.091000000000001</v>
      </c>
      <c r="D132" s="54">
        <v>49.480000000000004</v>
      </c>
      <c r="E132" s="238">
        <v>66.64</v>
      </c>
    </row>
    <row r="133" spans="1:5" ht="15.75" thickBot="1">
      <c r="A133" s="225">
        <v>9</v>
      </c>
      <c r="B133" s="233">
        <f t="shared" si="12"/>
        <v>303</v>
      </c>
      <c r="C133" s="237">
        <v>49.725000000000001</v>
      </c>
      <c r="D133" s="54">
        <v>65.17</v>
      </c>
      <c r="E133" s="238">
        <v>56.68</v>
      </c>
    </row>
    <row r="134" spans="1:5" ht="15.75" thickBot="1">
      <c r="A134" s="225">
        <v>10</v>
      </c>
      <c r="B134" s="233">
        <f t="shared" si="12"/>
        <v>303</v>
      </c>
      <c r="C134" s="237">
        <v>39.816000000000003</v>
      </c>
      <c r="D134" s="54">
        <v>63.1</v>
      </c>
      <c r="E134" s="238">
        <v>56.35</v>
      </c>
    </row>
    <row r="135" spans="1:5" ht="15.75" thickBot="1">
      <c r="A135" s="225">
        <v>11</v>
      </c>
      <c r="B135" s="233">
        <f t="shared" si="12"/>
        <v>303</v>
      </c>
      <c r="C135" s="237">
        <v>44.718000000000004</v>
      </c>
      <c r="D135" s="54">
        <v>81.09</v>
      </c>
      <c r="E135" s="238">
        <v>78.180000000000007</v>
      </c>
    </row>
    <row r="136" spans="1:5" ht="15.75" thickBot="1">
      <c r="A136" s="225">
        <v>12</v>
      </c>
      <c r="B136" s="233">
        <f t="shared" si="12"/>
        <v>303</v>
      </c>
      <c r="C136" s="237">
        <v>43.350999999999999</v>
      </c>
      <c r="D136" s="54">
        <v>57.6</v>
      </c>
      <c r="E136" s="238">
        <v>70.28</v>
      </c>
    </row>
    <row r="137" spans="1:5" ht="15.75" thickBot="1">
      <c r="A137" s="225">
        <v>13</v>
      </c>
      <c r="B137" s="233">
        <f t="shared" si="12"/>
        <v>303</v>
      </c>
      <c r="C137" s="237">
        <v>20.994</v>
      </c>
      <c r="D137" s="54">
        <v>75.58</v>
      </c>
      <c r="E137" s="238">
        <v>57.06</v>
      </c>
    </row>
    <row r="138" spans="1:5" ht="15.75" thickBot="1">
      <c r="A138" s="225">
        <v>14</v>
      </c>
      <c r="B138" s="233">
        <f t="shared" si="12"/>
        <v>303</v>
      </c>
      <c r="C138" s="237">
        <v>57.146999999999998</v>
      </c>
      <c r="D138" s="54">
        <v>69.540000000000006</v>
      </c>
      <c r="E138" s="238">
        <v>69.16</v>
      </c>
    </row>
    <row r="139" spans="1:5" ht="15.75" thickBot="1">
      <c r="A139" s="225">
        <v>15</v>
      </c>
      <c r="B139" s="233">
        <f t="shared" si="12"/>
        <v>303</v>
      </c>
      <c r="C139" s="240">
        <v>35.67</v>
      </c>
      <c r="D139" s="55">
        <v>66.84</v>
      </c>
      <c r="E139" s="241">
        <v>75.63</v>
      </c>
    </row>
    <row r="140" spans="1:5" ht="15.75" thickBot="1">
      <c r="A140" s="225">
        <v>1</v>
      </c>
      <c r="B140" s="233">
        <v>401</v>
      </c>
      <c r="C140" s="242">
        <v>30.54</v>
      </c>
      <c r="D140" s="243">
        <v>58.46</v>
      </c>
      <c r="E140" s="244">
        <v>58.88</v>
      </c>
    </row>
    <row r="141" spans="1:5" ht="15.75" thickBot="1">
      <c r="A141" s="225">
        <v>2</v>
      </c>
      <c r="B141" s="233">
        <f>B140</f>
        <v>401</v>
      </c>
      <c r="C141" s="237">
        <v>59.04</v>
      </c>
      <c r="D141" s="54">
        <v>41.11</v>
      </c>
      <c r="E141" s="238">
        <v>46.21</v>
      </c>
    </row>
    <row r="142" spans="1:5" ht="15.75" thickBot="1">
      <c r="A142" s="225">
        <v>3</v>
      </c>
      <c r="B142" s="233">
        <f t="shared" ref="B142:B154" si="13">B141</f>
        <v>401</v>
      </c>
      <c r="C142" s="237">
        <v>28.01</v>
      </c>
      <c r="D142" s="54">
        <v>45.68</v>
      </c>
      <c r="E142" s="238">
        <v>68.930000000000007</v>
      </c>
    </row>
    <row r="143" spans="1:5" ht="15.75" thickBot="1">
      <c r="A143" s="225">
        <v>4</v>
      </c>
      <c r="B143" s="233">
        <f t="shared" si="13"/>
        <v>401</v>
      </c>
      <c r="C143" s="237">
        <v>61.2</v>
      </c>
      <c r="D143" s="54">
        <v>56.16</v>
      </c>
      <c r="E143" s="238">
        <v>59.28</v>
      </c>
    </row>
    <row r="144" spans="1:5" ht="15.75" thickBot="1">
      <c r="A144" s="225">
        <v>5</v>
      </c>
      <c r="B144" s="233">
        <f t="shared" si="13"/>
        <v>401</v>
      </c>
      <c r="C144" s="237">
        <v>36.799999999999997</v>
      </c>
      <c r="D144" s="54">
        <v>68.63</v>
      </c>
      <c r="E144" s="238">
        <v>64.22</v>
      </c>
    </row>
    <row r="145" spans="1:5" ht="15.75" thickBot="1">
      <c r="A145" s="225">
        <v>6</v>
      </c>
      <c r="B145" s="233">
        <f t="shared" si="13"/>
        <v>401</v>
      </c>
      <c r="C145" s="237">
        <v>45.48</v>
      </c>
      <c r="D145" s="54">
        <v>40.61</v>
      </c>
      <c r="E145" s="238">
        <v>72.489999999999995</v>
      </c>
    </row>
    <row r="146" spans="1:5" ht="15.75" thickBot="1">
      <c r="A146" s="225">
        <v>7</v>
      </c>
      <c r="B146" s="233">
        <f t="shared" si="13"/>
        <v>401</v>
      </c>
      <c r="C146" s="237">
        <v>39.659999999999997</v>
      </c>
      <c r="D146" s="54">
        <v>52.91</v>
      </c>
      <c r="E146" s="238">
        <v>51.69</v>
      </c>
    </row>
    <row r="147" spans="1:5" ht="15.75" thickBot="1">
      <c r="A147" s="225">
        <v>8</v>
      </c>
      <c r="B147" s="233">
        <f t="shared" si="13"/>
        <v>401</v>
      </c>
      <c r="C147" s="237">
        <v>34.46</v>
      </c>
      <c r="D147" s="54">
        <v>49.68</v>
      </c>
      <c r="E147" s="238">
        <v>64.430000000000007</v>
      </c>
    </row>
    <row r="148" spans="1:5" ht="15.75" thickBot="1">
      <c r="A148" s="225">
        <v>9</v>
      </c>
      <c r="B148" s="233">
        <f t="shared" si="13"/>
        <v>401</v>
      </c>
      <c r="C148" s="237">
        <v>37.39</v>
      </c>
      <c r="D148" s="54">
        <v>58.480000000000004</v>
      </c>
      <c r="E148" s="238">
        <v>48.49</v>
      </c>
    </row>
    <row r="149" spans="1:5" ht="15.75" thickBot="1">
      <c r="A149" s="225">
        <v>10</v>
      </c>
      <c r="B149" s="233">
        <f t="shared" si="13"/>
        <v>401</v>
      </c>
      <c r="C149" s="237">
        <v>72.430000000000007</v>
      </c>
      <c r="D149" s="54">
        <v>59.08</v>
      </c>
      <c r="E149" s="238">
        <v>63.9</v>
      </c>
    </row>
    <row r="150" spans="1:5" ht="15.75" thickBot="1">
      <c r="A150" s="225">
        <v>11</v>
      </c>
      <c r="B150" s="233">
        <f t="shared" si="13"/>
        <v>401</v>
      </c>
      <c r="C150" s="237">
        <v>13.7</v>
      </c>
      <c r="D150" s="54">
        <v>42.230000000000004</v>
      </c>
      <c r="E150" s="238">
        <v>51.11</v>
      </c>
    </row>
    <row r="151" spans="1:5" ht="15.75" thickBot="1">
      <c r="A151" s="225">
        <v>12</v>
      </c>
      <c r="B151" s="233">
        <f t="shared" si="13"/>
        <v>401</v>
      </c>
      <c r="C151" s="237">
        <v>13.56</v>
      </c>
      <c r="D151" s="54">
        <v>43.300000000000004</v>
      </c>
      <c r="E151" s="238">
        <v>59.620000000000005</v>
      </c>
    </row>
    <row r="152" spans="1:5" ht="15.75" thickBot="1">
      <c r="A152" s="225">
        <v>13</v>
      </c>
      <c r="B152" s="233">
        <f t="shared" si="13"/>
        <v>401</v>
      </c>
      <c r="C152" s="237">
        <v>25.54</v>
      </c>
      <c r="D152" s="54">
        <v>48.83</v>
      </c>
      <c r="E152" s="238">
        <v>64.91</v>
      </c>
    </row>
    <row r="153" spans="1:5" ht="15.75" thickBot="1">
      <c r="A153" s="225">
        <v>14</v>
      </c>
      <c r="B153" s="233">
        <f t="shared" si="13"/>
        <v>401</v>
      </c>
      <c r="C153" s="237">
        <v>35.200000000000003</v>
      </c>
      <c r="D153" s="54">
        <v>61.9</v>
      </c>
      <c r="E153" s="238">
        <v>59.71</v>
      </c>
    </row>
    <row r="154" spans="1:5" ht="15.75" thickBot="1">
      <c r="A154" s="225">
        <v>15</v>
      </c>
      <c r="B154" s="233">
        <f t="shared" si="13"/>
        <v>401</v>
      </c>
      <c r="C154" s="278">
        <v>29.3</v>
      </c>
      <c r="D154" s="276">
        <v>51.160000000000004</v>
      </c>
      <c r="E154" s="274">
        <v>58.660000000000004</v>
      </c>
    </row>
    <row r="155" spans="1:5" ht="15.75" thickBot="1">
      <c r="A155" s="225">
        <v>1</v>
      </c>
      <c r="B155" s="233">
        <v>402</v>
      </c>
      <c r="C155" s="271">
        <v>42.34</v>
      </c>
      <c r="D155" s="203">
        <v>74.66</v>
      </c>
      <c r="E155" s="272">
        <v>69.39</v>
      </c>
    </row>
    <row r="156" spans="1:5" ht="15.75" thickBot="1">
      <c r="A156" s="225">
        <v>2</v>
      </c>
      <c r="B156" s="233">
        <f>B155</f>
        <v>402</v>
      </c>
      <c r="C156" s="237">
        <v>35.880000000000003</v>
      </c>
      <c r="D156" s="54">
        <v>82.26</v>
      </c>
      <c r="E156" s="238">
        <v>59.46</v>
      </c>
    </row>
    <row r="157" spans="1:5" ht="15.75" thickBot="1">
      <c r="A157" s="225">
        <v>3</v>
      </c>
      <c r="B157" s="233">
        <f t="shared" ref="B157:B169" si="14">B156</f>
        <v>402</v>
      </c>
      <c r="C157" s="237">
        <v>46.04</v>
      </c>
      <c r="D157" s="54">
        <v>46.2</v>
      </c>
      <c r="E157" s="238">
        <v>69.02</v>
      </c>
    </row>
    <row r="158" spans="1:5" ht="15.75" thickBot="1">
      <c r="A158" s="225">
        <v>4</v>
      </c>
      <c r="B158" s="233">
        <f t="shared" si="14"/>
        <v>402</v>
      </c>
      <c r="C158" s="237">
        <v>39.96</v>
      </c>
      <c r="D158" s="54">
        <v>95.22</v>
      </c>
      <c r="E158" s="238">
        <v>57.34</v>
      </c>
    </row>
    <row r="159" spans="1:5" ht="15.75" thickBot="1">
      <c r="A159" s="225">
        <v>5</v>
      </c>
      <c r="B159" s="233">
        <f t="shared" si="14"/>
        <v>402</v>
      </c>
      <c r="C159" s="237">
        <v>30.11</v>
      </c>
      <c r="D159" s="54">
        <v>70.03</v>
      </c>
      <c r="E159" s="238">
        <v>64.040000000000006</v>
      </c>
    </row>
    <row r="160" spans="1:5" ht="15.75" thickBot="1">
      <c r="A160" s="225">
        <v>6</v>
      </c>
      <c r="B160" s="233">
        <f t="shared" si="14"/>
        <v>402</v>
      </c>
      <c r="C160" s="237">
        <v>25.72</v>
      </c>
      <c r="D160" s="54">
        <v>22.7</v>
      </c>
      <c r="E160" s="238">
        <v>80.17</v>
      </c>
    </row>
    <row r="161" spans="1:5" ht="15.75" thickBot="1">
      <c r="A161" s="225">
        <v>7</v>
      </c>
      <c r="B161" s="233">
        <f t="shared" si="14"/>
        <v>402</v>
      </c>
      <c r="C161" s="237">
        <v>17.02</v>
      </c>
      <c r="D161" s="54">
        <v>44.34</v>
      </c>
      <c r="E161" s="238">
        <v>53.35</v>
      </c>
    </row>
    <row r="162" spans="1:5" ht="15.75" thickBot="1">
      <c r="A162" s="225">
        <v>8</v>
      </c>
      <c r="B162" s="233">
        <f t="shared" si="14"/>
        <v>402</v>
      </c>
      <c r="C162" s="237">
        <v>48.81</v>
      </c>
      <c r="D162" s="54">
        <v>54.92</v>
      </c>
      <c r="E162" s="238">
        <v>65.03</v>
      </c>
    </row>
    <row r="163" spans="1:5" ht="15.75" thickBot="1">
      <c r="A163" s="225">
        <v>9</v>
      </c>
      <c r="B163" s="233">
        <f t="shared" si="14"/>
        <v>402</v>
      </c>
      <c r="C163" s="237">
        <v>66.52</v>
      </c>
      <c r="D163" s="54">
        <v>83.45</v>
      </c>
      <c r="E163" s="238">
        <v>73.430000000000007</v>
      </c>
    </row>
    <row r="164" spans="1:5" ht="15.75" thickBot="1">
      <c r="A164" s="225">
        <v>10</v>
      </c>
      <c r="B164" s="233">
        <f t="shared" si="14"/>
        <v>402</v>
      </c>
      <c r="C164" s="237">
        <v>46.96</v>
      </c>
      <c r="D164" s="54">
        <v>86.09</v>
      </c>
      <c r="E164" s="238">
        <v>61.160000000000004</v>
      </c>
    </row>
    <row r="165" spans="1:5" ht="15.75" thickBot="1">
      <c r="A165" s="225">
        <v>11</v>
      </c>
      <c r="B165" s="233">
        <f t="shared" si="14"/>
        <v>402</v>
      </c>
      <c r="C165" s="237">
        <v>23.78</v>
      </c>
      <c r="D165" s="54">
        <v>2.2600000000000002</v>
      </c>
      <c r="E165" s="238">
        <v>60.800000000000004</v>
      </c>
    </row>
    <row r="166" spans="1:5" ht="15.75" thickBot="1">
      <c r="A166" s="225">
        <v>12</v>
      </c>
      <c r="B166" s="233">
        <f t="shared" si="14"/>
        <v>402</v>
      </c>
      <c r="C166" s="237">
        <v>49.48</v>
      </c>
      <c r="D166" s="54">
        <v>59.93</v>
      </c>
      <c r="E166" s="238">
        <v>68.010000000000005</v>
      </c>
    </row>
    <row r="167" spans="1:5" ht="15.75" thickBot="1">
      <c r="A167" s="225">
        <v>13</v>
      </c>
      <c r="B167" s="233">
        <f t="shared" si="14"/>
        <v>402</v>
      </c>
      <c r="C167" s="237">
        <v>18.29</v>
      </c>
      <c r="D167" s="54">
        <v>29.53</v>
      </c>
      <c r="E167" s="238">
        <v>63.52</v>
      </c>
    </row>
    <row r="168" spans="1:5" ht="15.75" thickBot="1">
      <c r="A168" s="225">
        <v>14</v>
      </c>
      <c r="B168" s="233">
        <f t="shared" si="14"/>
        <v>402</v>
      </c>
      <c r="C168" s="237">
        <v>41.2</v>
      </c>
      <c r="D168" s="54">
        <v>72.960000000000008</v>
      </c>
      <c r="E168" s="238">
        <v>64.73</v>
      </c>
    </row>
    <row r="169" spans="1:5" ht="15.75" thickBot="1">
      <c r="A169" s="225">
        <v>15</v>
      </c>
      <c r="B169" s="233">
        <f t="shared" si="14"/>
        <v>402</v>
      </c>
      <c r="C169" s="240">
        <v>38.08</v>
      </c>
      <c r="D169" s="55">
        <v>108.47</v>
      </c>
      <c r="E169" s="241">
        <v>61</v>
      </c>
    </row>
    <row r="170" spans="1:5" ht="15.75" thickBot="1">
      <c r="A170" s="225">
        <v>1</v>
      </c>
      <c r="B170" s="233">
        <v>403</v>
      </c>
      <c r="C170" s="242">
        <v>20.05</v>
      </c>
      <c r="D170" s="243">
        <v>49.23</v>
      </c>
      <c r="E170" s="244">
        <v>57.18</v>
      </c>
    </row>
    <row r="171" spans="1:5" ht="15.75" thickBot="1">
      <c r="A171" s="225">
        <v>2</v>
      </c>
      <c r="B171" s="233">
        <f>B170</f>
        <v>403</v>
      </c>
      <c r="C171" s="237">
        <v>52.469000000000001</v>
      </c>
      <c r="D171" s="54">
        <v>37.049999999999997</v>
      </c>
      <c r="E171" s="238">
        <v>59.27</v>
      </c>
    </row>
    <row r="172" spans="1:5" ht="15.75" thickBot="1">
      <c r="A172" s="225">
        <v>3</v>
      </c>
      <c r="B172" s="233">
        <f t="shared" ref="B172:B184" si="15">B171</f>
        <v>403</v>
      </c>
      <c r="C172" s="237">
        <v>29.695</v>
      </c>
      <c r="D172" s="54">
        <v>67.47</v>
      </c>
      <c r="E172" s="238">
        <v>64.239999999999995</v>
      </c>
    </row>
    <row r="173" spans="1:5" ht="15.75" thickBot="1">
      <c r="A173" s="225">
        <v>4</v>
      </c>
      <c r="B173" s="233">
        <f t="shared" si="15"/>
        <v>403</v>
      </c>
      <c r="C173" s="237">
        <v>43.228999999999999</v>
      </c>
      <c r="D173" s="54">
        <v>36.31</v>
      </c>
      <c r="E173" s="238">
        <v>45.7</v>
      </c>
    </row>
    <row r="174" spans="1:5" ht="15.75" thickBot="1">
      <c r="A174" s="225">
        <v>5</v>
      </c>
      <c r="B174" s="233">
        <f t="shared" si="15"/>
        <v>403</v>
      </c>
      <c r="C174" s="237">
        <v>42.231999999999999</v>
      </c>
      <c r="D174" s="54">
        <v>32.549999999999997</v>
      </c>
      <c r="E174" s="238">
        <v>89.99</v>
      </c>
    </row>
    <row r="175" spans="1:5" ht="15.75" thickBot="1">
      <c r="A175" s="225">
        <v>6</v>
      </c>
      <c r="B175" s="233">
        <f t="shared" si="15"/>
        <v>403</v>
      </c>
      <c r="C175" s="237">
        <v>29.414999999999999</v>
      </c>
      <c r="D175" s="54">
        <v>54.21</v>
      </c>
      <c r="E175" s="238">
        <v>43.48</v>
      </c>
    </row>
    <row r="176" spans="1:5" ht="15.75" thickBot="1">
      <c r="A176" s="225">
        <v>7</v>
      </c>
      <c r="B176" s="233">
        <f t="shared" si="15"/>
        <v>403</v>
      </c>
      <c r="C176" s="237">
        <v>33.606999999999999</v>
      </c>
      <c r="D176" s="54">
        <v>55.7</v>
      </c>
      <c r="E176" s="238">
        <v>68.22</v>
      </c>
    </row>
    <row r="177" spans="1:5" ht="15.75" thickBot="1">
      <c r="A177" s="225">
        <v>8</v>
      </c>
      <c r="B177" s="233">
        <f t="shared" si="15"/>
        <v>403</v>
      </c>
      <c r="C177" s="237">
        <v>38.237000000000002</v>
      </c>
      <c r="D177" s="54">
        <v>44.38</v>
      </c>
      <c r="E177" s="238">
        <v>64.69</v>
      </c>
    </row>
    <row r="178" spans="1:5" ht="15.75" thickBot="1">
      <c r="A178" s="225">
        <v>9</v>
      </c>
      <c r="B178" s="233">
        <f t="shared" si="15"/>
        <v>403</v>
      </c>
      <c r="C178" s="237">
        <v>32.588000000000001</v>
      </c>
      <c r="D178" s="54">
        <v>48.03</v>
      </c>
      <c r="E178" s="238">
        <v>67.61</v>
      </c>
    </row>
    <row r="179" spans="1:5" ht="15.75" thickBot="1">
      <c r="A179" s="225">
        <v>10</v>
      </c>
      <c r="B179" s="233">
        <f t="shared" si="15"/>
        <v>403</v>
      </c>
      <c r="C179" s="237">
        <v>49.71</v>
      </c>
      <c r="D179" s="54">
        <v>45.64</v>
      </c>
      <c r="E179" s="238">
        <v>69.960000000000008</v>
      </c>
    </row>
    <row r="180" spans="1:5" ht="15.75" thickBot="1">
      <c r="A180" s="225">
        <v>11</v>
      </c>
      <c r="B180" s="233">
        <f t="shared" si="15"/>
        <v>403</v>
      </c>
      <c r="C180" s="237">
        <v>53.816000000000003</v>
      </c>
      <c r="D180" s="54">
        <v>52.97</v>
      </c>
      <c r="E180" s="238">
        <v>63.25</v>
      </c>
    </row>
    <row r="181" spans="1:5" ht="15.75" thickBot="1">
      <c r="A181" s="225">
        <v>12</v>
      </c>
      <c r="B181" s="233">
        <f t="shared" si="15"/>
        <v>403</v>
      </c>
      <c r="C181" s="237">
        <v>52.387</v>
      </c>
      <c r="D181" s="54">
        <v>78.92</v>
      </c>
      <c r="E181" s="238">
        <v>32.700000000000003</v>
      </c>
    </row>
    <row r="182" spans="1:5" ht="15.75" thickBot="1">
      <c r="A182" s="225">
        <v>13</v>
      </c>
      <c r="B182" s="233">
        <f t="shared" si="15"/>
        <v>403</v>
      </c>
      <c r="C182" s="239">
        <v>34.36</v>
      </c>
      <c r="D182" s="54">
        <v>18.77</v>
      </c>
      <c r="E182" s="238">
        <v>64.790000000000006</v>
      </c>
    </row>
    <row r="183" spans="1:5" ht="15.75" thickBot="1">
      <c r="A183" s="225">
        <v>14</v>
      </c>
      <c r="B183" s="233">
        <f t="shared" si="15"/>
        <v>403</v>
      </c>
      <c r="C183" s="239">
        <v>34.44</v>
      </c>
      <c r="D183" s="54">
        <v>45.08</v>
      </c>
      <c r="E183" s="238">
        <v>47.09</v>
      </c>
    </row>
    <row r="184" spans="1:5" ht="15.75" thickBot="1">
      <c r="A184" s="225">
        <v>15</v>
      </c>
      <c r="B184" s="235">
        <f t="shared" si="15"/>
        <v>403</v>
      </c>
      <c r="C184" s="240">
        <v>50.54</v>
      </c>
      <c r="D184" s="55">
        <v>45.980000000000004</v>
      </c>
      <c r="E184" s="241">
        <v>79.34</v>
      </c>
    </row>
    <row r="185" spans="1:5">
      <c r="D185" s="40"/>
    </row>
    <row r="186" spans="1:5">
      <c r="D186" s="40"/>
    </row>
    <row r="187" spans="1:5">
      <c r="D187" s="40"/>
    </row>
    <row r="188" spans="1:5">
      <c r="D188" s="40"/>
    </row>
    <row r="189" spans="1:5">
      <c r="D189" s="40"/>
    </row>
    <row r="190" spans="1:5">
      <c r="D190" s="40"/>
    </row>
    <row r="191" spans="1:5">
      <c r="D191" s="40"/>
    </row>
    <row r="192" spans="1:5">
      <c r="D192" s="40"/>
    </row>
  </sheetData>
  <mergeCells count="7">
    <mergeCell ref="R6:T6"/>
    <mergeCell ref="G9:G12"/>
    <mergeCell ref="G17:G20"/>
    <mergeCell ref="A2:D2"/>
    <mergeCell ref="G13:G16"/>
    <mergeCell ref="G6:H6"/>
    <mergeCell ref="M6:N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C209-0D25-4722-8A3E-340A5B275814}">
  <sheetPr>
    <tabColor rgb="FF92D050"/>
  </sheetPr>
  <dimension ref="A1:AD184"/>
  <sheetViews>
    <sheetView zoomScaleNormal="100" workbookViewId="0">
      <selection activeCell="K3" sqref="K3:M6"/>
    </sheetView>
  </sheetViews>
  <sheetFormatPr defaultColWidth="11.5703125" defaultRowHeight="15"/>
  <cols>
    <col min="1" max="1" width="3.28515625" style="40" bestFit="1" customWidth="1"/>
    <col min="2" max="2" width="5.28515625" style="40" customWidth="1"/>
    <col min="3" max="3" width="10.5703125" style="40" bestFit="1" customWidth="1"/>
    <col min="4" max="4" width="11" style="172" bestFit="1" customWidth="1"/>
    <col min="5" max="5" width="11" style="40" bestFit="1" customWidth="1"/>
    <col min="6" max="9" width="11.5703125" style="40"/>
    <col min="10" max="10" width="9.7109375" style="40" customWidth="1"/>
    <col min="11" max="11" width="14.85546875" style="40" customWidth="1"/>
    <col min="12" max="12" width="15.28515625" style="40" customWidth="1"/>
    <col min="13" max="14" width="15.85546875" style="40" customWidth="1"/>
    <col min="15" max="17" width="11.5703125" style="40"/>
    <col min="18" max="19" width="15.140625" style="40" customWidth="1"/>
    <col min="20" max="16384" width="11.5703125" style="40"/>
  </cols>
  <sheetData>
    <row r="1" spans="1:30">
      <c r="C1" s="83"/>
      <c r="D1" s="185"/>
    </row>
    <row r="2" spans="1:30" ht="19.5" thickBot="1">
      <c r="A2" s="382" t="s">
        <v>147</v>
      </c>
      <c r="B2" s="382"/>
      <c r="C2" s="382"/>
      <c r="D2" s="186"/>
      <c r="F2" s="383" t="s">
        <v>133</v>
      </c>
      <c r="G2" s="383"/>
      <c r="K2" s="384" t="s">
        <v>134</v>
      </c>
      <c r="L2" s="384"/>
      <c r="O2" s="388" t="s">
        <v>148</v>
      </c>
      <c r="P2" s="388"/>
      <c r="U2" s="388"/>
      <c r="V2" s="388"/>
      <c r="W2" s="388"/>
      <c r="X2" s="388"/>
      <c r="Y2" s="388"/>
    </row>
    <row r="3" spans="1:30" ht="15.75" thickBot="1">
      <c r="C3" s="62">
        <v>45387</v>
      </c>
      <c r="D3" s="185">
        <v>45478</v>
      </c>
      <c r="E3" s="62"/>
      <c r="H3" s="62"/>
      <c r="I3" s="62"/>
      <c r="L3" s="199" t="s">
        <v>140</v>
      </c>
      <c r="M3" s="301" t="s">
        <v>31</v>
      </c>
      <c r="P3" s="51" t="s">
        <v>140</v>
      </c>
      <c r="Q3" s="335" t="s">
        <v>31</v>
      </c>
    </row>
    <row r="4" spans="1:30" ht="15.75" thickBot="1">
      <c r="A4" s="37"/>
      <c r="B4" s="45"/>
      <c r="C4" s="82" t="s">
        <v>140</v>
      </c>
      <c r="D4" s="171" t="s">
        <v>31</v>
      </c>
      <c r="F4" s="37"/>
      <c r="G4" s="37"/>
      <c r="H4" s="35" t="s">
        <v>140</v>
      </c>
      <c r="I4" s="33" t="s">
        <v>31</v>
      </c>
      <c r="J4" s="89"/>
      <c r="K4" s="311" t="s">
        <v>142</v>
      </c>
      <c r="L4" s="202">
        <f>AVERAGE(H5:H8)</f>
        <v>23.468333333333334</v>
      </c>
      <c r="M4" s="161">
        <f>AVERAGE(I5:I8)</f>
        <v>28.619000000000003</v>
      </c>
      <c r="O4" s="315" t="s">
        <v>43</v>
      </c>
      <c r="P4" s="56">
        <f>L5*100/L$4-100</f>
        <v>-2.1241389105887265</v>
      </c>
      <c r="Q4" s="332">
        <f>M5*100/M$4-100</f>
        <v>-4.9623210687538801</v>
      </c>
    </row>
    <row r="5" spans="1:30" ht="15.75" thickBot="1">
      <c r="A5" s="39">
        <v>1</v>
      </c>
      <c r="B5" s="46">
        <v>101</v>
      </c>
      <c r="C5" s="70">
        <v>20.6</v>
      </c>
      <c r="D5" s="157">
        <v>20.7</v>
      </c>
      <c r="F5" s="385" t="s">
        <v>38</v>
      </c>
      <c r="G5" s="323">
        <v>101</v>
      </c>
      <c r="H5" s="70">
        <f t="shared" ref="H5:H16" si="0">AVERAGEIF(B:B,G5,C:C)</f>
        <v>25.086666666666666</v>
      </c>
      <c r="I5" s="327">
        <f t="shared" ref="I5:I16" si="1">AVERAGEIF(B:B,G5,D:D)</f>
        <v>26.248000000000005</v>
      </c>
      <c r="K5" s="98" t="s">
        <v>43</v>
      </c>
      <c r="L5" s="49">
        <f>AVERAGE(H9:H12)</f>
        <v>22.969833333333334</v>
      </c>
      <c r="M5" s="162">
        <f>AVERAGE(I9:I12)</f>
        <v>27.198833333333333</v>
      </c>
      <c r="O5" s="316" t="s">
        <v>47</v>
      </c>
      <c r="P5" s="58">
        <f>L6*100/L$4-100</f>
        <v>-4.5948441161849303</v>
      </c>
      <c r="Q5" s="333">
        <f>M6*100/M$4-100</f>
        <v>-9.1588338749315881</v>
      </c>
    </row>
    <row r="6" spans="1:30" ht="15.75" thickBot="1">
      <c r="A6" s="38">
        <v>2</v>
      </c>
      <c r="B6" s="45">
        <f>B5</f>
        <v>101</v>
      </c>
      <c r="C6" s="87">
        <v>30.7</v>
      </c>
      <c r="D6" s="159">
        <v>24.8</v>
      </c>
      <c r="F6" s="386"/>
      <c r="G6" s="283">
        <v>201</v>
      </c>
      <c r="H6" s="87">
        <f t="shared" si="0"/>
        <v>22.953333333333333</v>
      </c>
      <c r="I6" s="328">
        <f t="shared" si="1"/>
        <v>27.803999999999998</v>
      </c>
      <c r="K6" s="312" t="s">
        <v>47</v>
      </c>
      <c r="L6" s="50">
        <f>AVERAGE(H13:H16)</f>
        <v>22.39</v>
      </c>
      <c r="M6" s="163">
        <f>AVERAGE(I13:I16)</f>
        <v>25.997833333333332</v>
      </c>
    </row>
    <row r="7" spans="1:30">
      <c r="A7" s="38">
        <v>3</v>
      </c>
      <c r="B7" s="45">
        <f t="shared" ref="B7:B18" si="2">B6</f>
        <v>101</v>
      </c>
      <c r="C7" s="87">
        <v>24.1</v>
      </c>
      <c r="D7" s="159">
        <v>28.8</v>
      </c>
      <c r="F7" s="386"/>
      <c r="G7" s="283">
        <v>303</v>
      </c>
      <c r="H7" s="87">
        <f t="shared" si="0"/>
        <v>24.300000000000004</v>
      </c>
      <c r="I7" s="328">
        <f t="shared" si="1"/>
        <v>29.582666666666665</v>
      </c>
      <c r="L7" s="184"/>
      <c r="M7" s="183"/>
      <c r="N7" s="183"/>
      <c r="P7" s="184"/>
      <c r="Q7" s="183"/>
      <c r="R7" s="183"/>
      <c r="S7" s="183"/>
      <c r="T7" s="183"/>
      <c r="V7" s="184"/>
      <c r="W7" s="183"/>
      <c r="X7" s="183"/>
      <c r="Y7" s="183"/>
      <c r="Z7" s="183"/>
      <c r="AA7" s="183"/>
      <c r="AB7" s="183"/>
      <c r="AC7" s="183"/>
      <c r="AD7" s="183"/>
    </row>
    <row r="8" spans="1:30" ht="15.75" thickBot="1">
      <c r="A8" s="38">
        <v>4</v>
      </c>
      <c r="B8" s="45">
        <f t="shared" si="2"/>
        <v>101</v>
      </c>
      <c r="C8" s="87">
        <v>23.6</v>
      </c>
      <c r="D8" s="159">
        <v>26.7</v>
      </c>
      <c r="F8" s="387"/>
      <c r="G8" s="114">
        <v>403</v>
      </c>
      <c r="H8" s="88">
        <f t="shared" si="0"/>
        <v>21.533333333333335</v>
      </c>
      <c r="I8" s="329">
        <f t="shared" si="1"/>
        <v>30.841333333333338</v>
      </c>
      <c r="L8" s="184"/>
      <c r="M8" s="183"/>
      <c r="N8" s="183"/>
      <c r="P8" s="184"/>
      <c r="Q8" s="183"/>
      <c r="R8" s="183"/>
      <c r="S8" s="183"/>
      <c r="T8" s="183"/>
      <c r="V8" s="184"/>
      <c r="W8" s="183"/>
      <c r="X8" s="183"/>
      <c r="Y8" s="183"/>
      <c r="Z8" s="183"/>
      <c r="AA8" s="183"/>
      <c r="AB8" s="183"/>
      <c r="AC8" s="183"/>
      <c r="AD8" s="183"/>
    </row>
    <row r="9" spans="1:30">
      <c r="A9" s="38">
        <v>5</v>
      </c>
      <c r="B9" s="45">
        <f t="shared" si="2"/>
        <v>101</v>
      </c>
      <c r="C9" s="87">
        <v>26.6</v>
      </c>
      <c r="D9" s="159">
        <v>28.3</v>
      </c>
      <c r="F9" s="385" t="s">
        <v>42</v>
      </c>
      <c r="G9" s="323">
        <v>102</v>
      </c>
      <c r="H9" s="70">
        <f t="shared" si="0"/>
        <v>23.386666666666663</v>
      </c>
      <c r="I9" s="327">
        <f t="shared" si="1"/>
        <v>28.514666666666663</v>
      </c>
    </row>
    <row r="10" spans="1:30">
      <c r="A10" s="38">
        <v>6</v>
      </c>
      <c r="B10" s="45">
        <f t="shared" si="2"/>
        <v>101</v>
      </c>
      <c r="C10" s="87">
        <v>23.7</v>
      </c>
      <c r="D10" s="159">
        <v>21.7</v>
      </c>
      <c r="F10" s="386"/>
      <c r="G10" s="283">
        <v>202</v>
      </c>
      <c r="H10" s="87">
        <f t="shared" si="0"/>
        <v>21.913333333333338</v>
      </c>
      <c r="I10" s="328">
        <f t="shared" si="1"/>
        <v>29.35466666666667</v>
      </c>
    </row>
    <row r="11" spans="1:30">
      <c r="A11" s="38">
        <v>7</v>
      </c>
      <c r="B11" s="45">
        <f t="shared" si="2"/>
        <v>101</v>
      </c>
      <c r="C11" s="87">
        <v>27.1</v>
      </c>
      <c r="D11" s="159">
        <v>32.799999999999997</v>
      </c>
      <c r="F11" s="386"/>
      <c r="G11" s="283">
        <v>302</v>
      </c>
      <c r="H11" s="87">
        <f t="shared" si="0"/>
        <v>23.40666666666667</v>
      </c>
      <c r="I11" s="328">
        <f t="shared" si="1"/>
        <v>26.505999999999997</v>
      </c>
    </row>
    <row r="12" spans="1:30" ht="15.75" thickBot="1">
      <c r="A12" s="38">
        <v>8</v>
      </c>
      <c r="B12" s="45">
        <f t="shared" si="2"/>
        <v>101</v>
      </c>
      <c r="C12" s="87">
        <v>24.4</v>
      </c>
      <c r="D12" s="159">
        <v>28.240000000000002</v>
      </c>
      <c r="F12" s="387"/>
      <c r="G12" s="114">
        <v>402</v>
      </c>
      <c r="H12" s="88">
        <f t="shared" si="0"/>
        <v>23.172666666666665</v>
      </c>
      <c r="I12" s="329">
        <f t="shared" si="1"/>
        <v>24.419999999999995</v>
      </c>
    </row>
    <row r="13" spans="1:30">
      <c r="A13" s="38">
        <v>9</v>
      </c>
      <c r="B13" s="45">
        <f t="shared" si="2"/>
        <v>101</v>
      </c>
      <c r="C13" s="87">
        <v>23.4</v>
      </c>
      <c r="D13" s="159">
        <v>29.240000000000002</v>
      </c>
      <c r="F13" s="385" t="s">
        <v>46</v>
      </c>
      <c r="G13" s="323">
        <v>103</v>
      </c>
      <c r="H13" s="70">
        <f t="shared" si="0"/>
        <v>22.866666666666671</v>
      </c>
      <c r="I13" s="327">
        <f t="shared" si="1"/>
        <v>27.859333333333332</v>
      </c>
    </row>
    <row r="14" spans="1:30">
      <c r="A14" s="38">
        <v>10</v>
      </c>
      <c r="B14" s="45">
        <f t="shared" si="2"/>
        <v>101</v>
      </c>
      <c r="C14" s="87">
        <v>24.1</v>
      </c>
      <c r="D14" s="159">
        <v>23.5</v>
      </c>
      <c r="F14" s="386"/>
      <c r="G14" s="283">
        <v>203</v>
      </c>
      <c r="H14" s="87">
        <f t="shared" si="0"/>
        <v>20.333333333333332</v>
      </c>
      <c r="I14" s="328">
        <f t="shared" si="1"/>
        <v>28.013333333333328</v>
      </c>
    </row>
    <row r="15" spans="1:30">
      <c r="A15" s="38">
        <v>11</v>
      </c>
      <c r="B15" s="45">
        <f t="shared" si="2"/>
        <v>101</v>
      </c>
      <c r="C15" s="87">
        <v>25.5</v>
      </c>
      <c r="D15" s="159">
        <v>18.240000000000002</v>
      </c>
      <c r="F15" s="386"/>
      <c r="G15" s="283">
        <v>301</v>
      </c>
      <c r="H15" s="87">
        <f t="shared" si="0"/>
        <v>22.1</v>
      </c>
      <c r="I15" s="328">
        <f t="shared" si="1"/>
        <v>21.221333333333334</v>
      </c>
    </row>
    <row r="16" spans="1:30" ht="15.75" thickBot="1">
      <c r="A16" s="38">
        <v>12</v>
      </c>
      <c r="B16" s="45">
        <f t="shared" si="2"/>
        <v>101</v>
      </c>
      <c r="C16" s="87">
        <v>20.6</v>
      </c>
      <c r="D16" s="159">
        <v>34.92</v>
      </c>
      <c r="F16" s="387"/>
      <c r="G16" s="114">
        <v>401</v>
      </c>
      <c r="H16" s="88">
        <f t="shared" si="0"/>
        <v>24.259999999999998</v>
      </c>
      <c r="I16" s="329">
        <f t="shared" si="1"/>
        <v>26.897333333333336</v>
      </c>
    </row>
    <row r="17" spans="1:12">
      <c r="A17" s="38">
        <v>13</v>
      </c>
      <c r="B17" s="45">
        <f t="shared" si="2"/>
        <v>101</v>
      </c>
      <c r="C17" s="87">
        <v>28.6</v>
      </c>
      <c r="D17" s="159">
        <v>30.87</v>
      </c>
      <c r="F17" s="180"/>
      <c r="G17" s="37"/>
      <c r="H17" s="158"/>
      <c r="I17" s="158"/>
    </row>
    <row r="18" spans="1:12">
      <c r="A18" s="38">
        <v>14</v>
      </c>
      <c r="B18" s="45">
        <f t="shared" si="2"/>
        <v>101</v>
      </c>
      <c r="C18" s="87">
        <v>24.1</v>
      </c>
      <c r="D18" s="159">
        <v>22.91</v>
      </c>
      <c r="F18" s="180"/>
      <c r="G18" s="37"/>
      <c r="H18" s="158"/>
      <c r="I18" s="158"/>
    </row>
    <row r="19" spans="1:12" ht="15.75" thickBot="1">
      <c r="A19" s="38">
        <v>15</v>
      </c>
      <c r="B19" s="40">
        <v>101</v>
      </c>
      <c r="C19" s="87">
        <v>29.2</v>
      </c>
      <c r="D19" s="159">
        <v>22</v>
      </c>
      <c r="F19" s="180"/>
      <c r="G19" s="37"/>
      <c r="H19" s="158"/>
      <c r="I19" s="158"/>
    </row>
    <row r="20" spans="1:12">
      <c r="A20" s="39">
        <v>1</v>
      </c>
      <c r="B20" s="46">
        <v>102</v>
      </c>
      <c r="C20" s="70">
        <v>16.8</v>
      </c>
      <c r="D20" s="157">
        <v>34.06</v>
      </c>
      <c r="F20" s="180"/>
      <c r="G20" s="37"/>
      <c r="H20" s="158"/>
      <c r="I20" s="158"/>
    </row>
    <row r="21" spans="1:12">
      <c r="A21" s="38">
        <v>2</v>
      </c>
      <c r="B21" s="45">
        <f>B20</f>
        <v>102</v>
      </c>
      <c r="C21" s="87">
        <v>20.5</v>
      </c>
      <c r="D21" s="159">
        <v>31</v>
      </c>
      <c r="F21" s="180"/>
      <c r="G21" s="37"/>
      <c r="H21" s="158"/>
      <c r="I21" s="158"/>
    </row>
    <row r="22" spans="1:12">
      <c r="A22" s="38">
        <v>3</v>
      </c>
      <c r="B22" s="45">
        <f t="shared" ref="B22:B34" si="3">B21</f>
        <v>102</v>
      </c>
      <c r="C22" s="87">
        <v>18.5</v>
      </c>
      <c r="D22" s="159">
        <v>20.100000000000001</v>
      </c>
      <c r="F22" s="180"/>
      <c r="G22" s="37"/>
      <c r="H22" s="158"/>
      <c r="I22" s="158"/>
    </row>
    <row r="23" spans="1:12">
      <c r="A23" s="38">
        <v>4</v>
      </c>
      <c r="B23" s="45">
        <f t="shared" si="3"/>
        <v>102</v>
      </c>
      <c r="C23" s="87">
        <v>25</v>
      </c>
      <c r="D23" s="159">
        <v>34.200000000000003</v>
      </c>
      <c r="F23" s="180"/>
      <c r="G23" s="37"/>
      <c r="H23" s="158"/>
      <c r="I23" s="158"/>
    </row>
    <row r="24" spans="1:12">
      <c r="A24" s="38">
        <v>5</v>
      </c>
      <c r="B24" s="45">
        <f t="shared" si="3"/>
        <v>102</v>
      </c>
      <c r="C24" s="87">
        <v>22.4</v>
      </c>
      <c r="D24" s="159">
        <v>28.7</v>
      </c>
      <c r="F24" s="180"/>
      <c r="G24" s="37"/>
      <c r="H24" s="158"/>
      <c r="I24" s="158"/>
    </row>
    <row r="25" spans="1:12">
      <c r="A25" s="38">
        <v>6</v>
      </c>
      <c r="B25" s="45">
        <f t="shared" si="3"/>
        <v>102</v>
      </c>
      <c r="C25" s="87">
        <v>28.3</v>
      </c>
      <c r="D25" s="159">
        <v>23</v>
      </c>
      <c r="F25" s="180"/>
      <c r="G25" s="37"/>
      <c r="H25" s="158"/>
      <c r="I25" s="158"/>
    </row>
    <row r="26" spans="1:12">
      <c r="A26" s="38">
        <v>7</v>
      </c>
      <c r="B26" s="45">
        <f t="shared" si="3"/>
        <v>102</v>
      </c>
      <c r="C26" s="87">
        <v>24.6</v>
      </c>
      <c r="D26" s="159">
        <v>28.5</v>
      </c>
      <c r="F26" s="180"/>
      <c r="G26" s="37"/>
      <c r="H26" s="158"/>
      <c r="I26" s="158"/>
    </row>
    <row r="27" spans="1:12">
      <c r="A27" s="38">
        <v>8</v>
      </c>
      <c r="B27" s="45">
        <f t="shared" si="3"/>
        <v>102</v>
      </c>
      <c r="C27" s="87">
        <v>24.2</v>
      </c>
      <c r="D27" s="159">
        <v>32.880000000000003</v>
      </c>
      <c r="F27" s="180"/>
      <c r="G27" s="37"/>
      <c r="H27" s="158"/>
      <c r="I27" s="158"/>
    </row>
    <row r="28" spans="1:12">
      <c r="A28" s="38">
        <v>9</v>
      </c>
      <c r="B28" s="45">
        <f t="shared" si="3"/>
        <v>102</v>
      </c>
      <c r="C28" s="87">
        <v>18.7</v>
      </c>
      <c r="D28" s="159">
        <v>33.43</v>
      </c>
      <c r="F28" s="180"/>
      <c r="G28" s="37"/>
      <c r="H28" s="158"/>
      <c r="I28" s="158"/>
    </row>
    <row r="29" spans="1:12">
      <c r="A29" s="38">
        <v>10</v>
      </c>
      <c r="B29" s="45">
        <f t="shared" si="3"/>
        <v>102</v>
      </c>
      <c r="C29" s="87">
        <v>21.1</v>
      </c>
      <c r="D29" s="159">
        <v>14.16</v>
      </c>
      <c r="F29" s="180"/>
      <c r="G29" s="37"/>
      <c r="H29" s="158"/>
      <c r="I29" s="158"/>
      <c r="K29" s="383"/>
      <c r="L29" s="383"/>
    </row>
    <row r="30" spans="1:12">
      <c r="A30" s="38">
        <v>11</v>
      </c>
      <c r="B30" s="45">
        <f t="shared" si="3"/>
        <v>102</v>
      </c>
      <c r="C30" s="87">
        <v>26.4</v>
      </c>
      <c r="D30" s="159">
        <v>27.96</v>
      </c>
      <c r="F30" s="180"/>
      <c r="G30" s="37"/>
      <c r="H30" s="158"/>
      <c r="I30" s="158"/>
    </row>
    <row r="31" spans="1:12">
      <c r="A31" s="38">
        <v>12</v>
      </c>
      <c r="B31" s="45">
        <f t="shared" si="3"/>
        <v>102</v>
      </c>
      <c r="C31" s="87">
        <v>23.6</v>
      </c>
      <c r="D31" s="159">
        <v>21.46</v>
      </c>
      <c r="F31" s="180"/>
      <c r="G31" s="37"/>
      <c r="H31" s="158"/>
      <c r="I31" s="158"/>
    </row>
    <row r="32" spans="1:12">
      <c r="A32" s="38">
        <v>13</v>
      </c>
      <c r="B32" s="45">
        <f t="shared" si="3"/>
        <v>102</v>
      </c>
      <c r="C32" s="87">
        <v>23.2</v>
      </c>
      <c r="D32" s="159">
        <v>30.7</v>
      </c>
      <c r="F32" s="180"/>
      <c r="G32" s="37"/>
      <c r="H32" s="158"/>
      <c r="I32" s="158"/>
    </row>
    <row r="33" spans="1:16">
      <c r="A33" s="38">
        <v>14</v>
      </c>
      <c r="B33" s="45">
        <f t="shared" si="3"/>
        <v>102</v>
      </c>
      <c r="C33" s="87">
        <v>32</v>
      </c>
      <c r="D33" s="159">
        <v>37.89</v>
      </c>
    </row>
    <row r="34" spans="1:16" ht="15.75" thickBot="1">
      <c r="A34" s="38">
        <v>15</v>
      </c>
      <c r="B34" s="45">
        <f t="shared" si="3"/>
        <v>102</v>
      </c>
      <c r="C34" s="87">
        <v>25.5</v>
      </c>
      <c r="D34" s="159">
        <v>29.68</v>
      </c>
    </row>
    <row r="35" spans="1:16">
      <c r="A35" s="39">
        <v>1</v>
      </c>
      <c r="B35" s="46">
        <v>103</v>
      </c>
      <c r="C35" s="70">
        <v>17</v>
      </c>
      <c r="D35" s="157">
        <v>19.100000000000001</v>
      </c>
    </row>
    <row r="36" spans="1:16">
      <c r="A36" s="38">
        <v>2</v>
      </c>
      <c r="B36" s="45">
        <f>B35</f>
        <v>103</v>
      </c>
      <c r="C36" s="87">
        <v>17.3</v>
      </c>
      <c r="D36" s="159">
        <v>30.7</v>
      </c>
      <c r="K36" s="183"/>
      <c r="L36" s="183"/>
      <c r="M36" s="183"/>
      <c r="N36" s="183"/>
    </row>
    <row r="37" spans="1:16">
      <c r="A37" s="38">
        <v>3</v>
      </c>
      <c r="B37" s="45">
        <f t="shared" ref="B37:B49" si="4">B36</f>
        <v>103</v>
      </c>
      <c r="C37" s="87">
        <v>20.7</v>
      </c>
      <c r="D37" s="159">
        <v>26.7</v>
      </c>
      <c r="K37" s="183"/>
      <c r="L37" s="183"/>
      <c r="M37" s="183"/>
      <c r="N37" s="183"/>
    </row>
    <row r="38" spans="1:16">
      <c r="A38" s="38">
        <v>4</v>
      </c>
      <c r="B38" s="45">
        <f t="shared" si="4"/>
        <v>103</v>
      </c>
      <c r="C38" s="87">
        <v>25.1</v>
      </c>
      <c r="D38" s="159">
        <v>33.9</v>
      </c>
    </row>
    <row r="39" spans="1:16">
      <c r="A39" s="38">
        <v>5</v>
      </c>
      <c r="B39" s="45">
        <f t="shared" si="4"/>
        <v>103</v>
      </c>
      <c r="C39" s="87">
        <v>20.8</v>
      </c>
      <c r="D39" s="159">
        <v>28.1</v>
      </c>
    </row>
    <row r="40" spans="1:16">
      <c r="A40" s="38">
        <v>6</v>
      </c>
      <c r="B40" s="45">
        <f t="shared" si="4"/>
        <v>103</v>
      </c>
      <c r="C40" s="87">
        <v>26.3</v>
      </c>
      <c r="D40" s="159">
        <v>25.2</v>
      </c>
    </row>
    <row r="41" spans="1:16">
      <c r="A41" s="38">
        <v>7</v>
      </c>
      <c r="B41" s="45">
        <f t="shared" si="4"/>
        <v>103</v>
      </c>
      <c r="C41" s="87">
        <v>23</v>
      </c>
      <c r="D41" s="159">
        <v>31.4</v>
      </c>
    </row>
    <row r="42" spans="1:16">
      <c r="A42" s="38">
        <v>8</v>
      </c>
      <c r="B42" s="45">
        <f t="shared" si="4"/>
        <v>103</v>
      </c>
      <c r="C42" s="87">
        <v>21.8</v>
      </c>
      <c r="D42" s="159">
        <v>28.07</v>
      </c>
    </row>
    <row r="43" spans="1:16" ht="19.5" thickBot="1">
      <c r="A43" s="38">
        <v>9</v>
      </c>
      <c r="B43" s="45">
        <f t="shared" si="4"/>
        <v>103</v>
      </c>
      <c r="C43" s="87">
        <v>26.5</v>
      </c>
      <c r="D43" s="159">
        <v>24.63</v>
      </c>
      <c r="K43" s="384"/>
      <c r="L43" s="384"/>
      <c r="M43" s="44"/>
      <c r="N43" s="44"/>
    </row>
    <row r="44" spans="1:16" ht="15.75" thickBot="1">
      <c r="A44" s="38">
        <v>10</v>
      </c>
      <c r="B44" s="45">
        <f t="shared" si="4"/>
        <v>103</v>
      </c>
      <c r="C44" s="87">
        <v>17.7</v>
      </c>
      <c r="D44" s="159">
        <v>31.57</v>
      </c>
      <c r="K44" s="37"/>
      <c r="L44" s="34" t="s">
        <v>149</v>
      </c>
      <c r="N44" s="37"/>
      <c r="O44" s="41" t="s">
        <v>140</v>
      </c>
      <c r="P44" s="41"/>
    </row>
    <row r="45" spans="1:16" ht="15.75" thickBot="1">
      <c r="A45" s="38">
        <v>11</v>
      </c>
      <c r="B45" s="45">
        <f t="shared" si="4"/>
        <v>103</v>
      </c>
      <c r="C45" s="87">
        <v>21.3</v>
      </c>
      <c r="D45" s="159">
        <v>23.88</v>
      </c>
      <c r="K45" s="47">
        <v>101</v>
      </c>
      <c r="L45" s="48">
        <f t="shared" ref="L45:L56" si="5">H5*100/$L$4-100</f>
        <v>6.8958170584475482</v>
      </c>
      <c r="N45" s="47">
        <f>K45</f>
        <v>101</v>
      </c>
      <c r="O45" s="48">
        <f t="shared" ref="O45:O56" si="6">I5*100/$M$5-100</f>
        <v>-3.4958607293204693</v>
      </c>
      <c r="P45" s="70"/>
    </row>
    <row r="46" spans="1:16" ht="15.75" thickBot="1">
      <c r="A46" s="38">
        <v>12</v>
      </c>
      <c r="B46" s="45">
        <f t="shared" si="4"/>
        <v>103</v>
      </c>
      <c r="C46" s="87">
        <v>22.3</v>
      </c>
      <c r="D46" s="159">
        <v>27.23</v>
      </c>
      <c r="K46" s="36">
        <v>201</v>
      </c>
      <c r="L46" s="48">
        <f t="shared" si="5"/>
        <v>-2.194446417157863</v>
      </c>
      <c r="N46" s="36">
        <f t="shared" ref="N46:N56" si="7">K46</f>
        <v>201</v>
      </c>
      <c r="O46" s="48">
        <f t="shared" si="6"/>
        <v>2.224972884866375</v>
      </c>
      <c r="P46" s="70"/>
    </row>
    <row r="47" spans="1:16" ht="15.75" thickBot="1">
      <c r="A47" s="38">
        <v>13</v>
      </c>
      <c r="B47" s="45">
        <f t="shared" si="4"/>
        <v>103</v>
      </c>
      <c r="C47" s="87">
        <v>26.5</v>
      </c>
      <c r="D47" s="159">
        <v>30.75</v>
      </c>
      <c r="K47" s="36">
        <v>303</v>
      </c>
      <c r="L47" s="48">
        <f t="shared" si="5"/>
        <v>3.5437824018180635</v>
      </c>
      <c r="N47" s="36">
        <f t="shared" si="7"/>
        <v>303</v>
      </c>
      <c r="O47" s="48">
        <f t="shared" si="6"/>
        <v>8.7644690642368204</v>
      </c>
      <c r="P47" s="70"/>
    </row>
    <row r="48" spans="1:16" ht="15.75" thickBot="1">
      <c r="A48" s="38">
        <v>14</v>
      </c>
      <c r="B48" s="45">
        <f t="shared" si="4"/>
        <v>103</v>
      </c>
      <c r="C48" s="87">
        <v>27.6</v>
      </c>
      <c r="D48" s="159">
        <v>26.21</v>
      </c>
      <c r="K48" s="36">
        <v>403</v>
      </c>
      <c r="L48" s="48">
        <f t="shared" si="5"/>
        <v>-8.2451530431077344</v>
      </c>
      <c r="N48" s="36">
        <f t="shared" si="7"/>
        <v>403</v>
      </c>
      <c r="O48" s="48">
        <f t="shared" si="6"/>
        <v>13.392118534495978</v>
      </c>
      <c r="P48" s="70"/>
    </row>
    <row r="49" spans="1:16" ht="15.75" thickBot="1">
      <c r="A49" s="38">
        <v>15</v>
      </c>
      <c r="B49" s="45">
        <f t="shared" si="4"/>
        <v>103</v>
      </c>
      <c r="C49" s="87">
        <v>29.1</v>
      </c>
      <c r="D49" s="159">
        <v>30.45</v>
      </c>
      <c r="K49" s="36">
        <v>102</v>
      </c>
      <c r="L49" s="48">
        <f t="shared" si="5"/>
        <v>-0.34798664867552986</v>
      </c>
      <c r="N49" s="36">
        <f t="shared" si="7"/>
        <v>102</v>
      </c>
      <c r="O49" s="48">
        <f t="shared" si="6"/>
        <v>4.8378300539851438</v>
      </c>
      <c r="P49" s="70"/>
    </row>
    <row r="50" spans="1:16" ht="15.75" thickBot="1">
      <c r="A50" s="227">
        <v>1</v>
      </c>
      <c r="B50" s="46">
        <v>201</v>
      </c>
      <c r="C50" s="70">
        <v>21.1</v>
      </c>
      <c r="D50" s="157">
        <v>31.3</v>
      </c>
      <c r="K50" s="36">
        <v>202</v>
      </c>
      <c r="L50" s="48">
        <f t="shared" si="5"/>
        <v>-6.6259498615154939</v>
      </c>
      <c r="N50" s="36">
        <f t="shared" si="7"/>
        <v>202</v>
      </c>
      <c r="O50" s="48">
        <f t="shared" si="6"/>
        <v>7.9261978148572751</v>
      </c>
      <c r="P50" s="70"/>
    </row>
    <row r="51" spans="1:16" ht="15.75" thickBot="1">
      <c r="A51" s="228">
        <v>2</v>
      </c>
      <c r="B51" s="45">
        <f>B50</f>
        <v>201</v>
      </c>
      <c r="C51" s="87">
        <v>20.2</v>
      </c>
      <c r="D51" s="159">
        <v>26.6</v>
      </c>
      <c r="K51" s="36">
        <v>302</v>
      </c>
      <c r="L51" s="48">
        <f t="shared" si="5"/>
        <v>-0.26276542859170604</v>
      </c>
      <c r="N51" s="36">
        <f t="shared" si="7"/>
        <v>302</v>
      </c>
      <c r="O51" s="48">
        <f t="shared" si="6"/>
        <v>-2.5472906313383703</v>
      </c>
      <c r="P51" s="70"/>
    </row>
    <row r="52" spans="1:16" ht="15.75" thickBot="1">
      <c r="A52" s="228">
        <v>3</v>
      </c>
      <c r="B52" s="45">
        <f t="shared" ref="B52:B64" si="8">B51</f>
        <v>201</v>
      </c>
      <c r="C52" s="87">
        <v>28.6</v>
      </c>
      <c r="D52" s="159">
        <v>28</v>
      </c>
      <c r="K52" s="36">
        <v>402</v>
      </c>
      <c r="L52" s="48">
        <f t="shared" si="5"/>
        <v>-1.2598537035722046</v>
      </c>
      <c r="N52" s="36">
        <f t="shared" si="7"/>
        <v>402</v>
      </c>
      <c r="O52" s="48">
        <f t="shared" si="6"/>
        <v>-10.216737237504077</v>
      </c>
      <c r="P52" s="70"/>
    </row>
    <row r="53" spans="1:16" ht="15.75" thickBot="1">
      <c r="A53" s="228">
        <v>4</v>
      </c>
      <c r="B53" s="45">
        <f t="shared" si="8"/>
        <v>201</v>
      </c>
      <c r="C53" s="87">
        <v>29.2</v>
      </c>
      <c r="D53" s="159">
        <v>22.6</v>
      </c>
      <c r="K53" s="36">
        <v>103</v>
      </c>
      <c r="L53" s="48">
        <f t="shared" si="5"/>
        <v>-2.5637383708543382</v>
      </c>
      <c r="N53" s="36">
        <f t="shared" si="7"/>
        <v>103</v>
      </c>
      <c r="O53" s="48">
        <f t="shared" si="6"/>
        <v>2.4284129834000225</v>
      </c>
      <c r="P53" s="70"/>
    </row>
    <row r="54" spans="1:16" ht="15.75" thickBot="1">
      <c r="A54" s="228">
        <v>5</v>
      </c>
      <c r="B54" s="45">
        <f t="shared" si="8"/>
        <v>201</v>
      </c>
      <c r="C54" s="87">
        <v>25.2</v>
      </c>
      <c r="D54" s="159">
        <v>38.799999999999997</v>
      </c>
      <c r="K54" s="36">
        <v>203</v>
      </c>
      <c r="L54" s="48">
        <f t="shared" si="5"/>
        <v>-13.358426248135785</v>
      </c>
      <c r="N54" s="36">
        <f t="shared" si="7"/>
        <v>203</v>
      </c>
      <c r="O54" s="48">
        <f t="shared" si="6"/>
        <v>2.9946137395598953</v>
      </c>
      <c r="P54" s="70"/>
    </row>
    <row r="55" spans="1:16" ht="15.75" thickBot="1">
      <c r="A55" s="228">
        <v>6</v>
      </c>
      <c r="B55" s="45">
        <f t="shared" si="8"/>
        <v>201</v>
      </c>
      <c r="C55" s="87">
        <v>21.3</v>
      </c>
      <c r="D55" s="159">
        <v>18.399999999999999</v>
      </c>
      <c r="K55" s="36">
        <v>301</v>
      </c>
      <c r="L55" s="48">
        <f t="shared" si="5"/>
        <v>-5.8305518074000418</v>
      </c>
      <c r="N55" s="36">
        <f t="shared" si="7"/>
        <v>301</v>
      </c>
      <c r="O55" s="48">
        <f t="shared" si="6"/>
        <v>-21.977045584063049</v>
      </c>
      <c r="P55" s="70"/>
    </row>
    <row r="56" spans="1:16" ht="15.75" thickBot="1">
      <c r="A56" s="228">
        <v>7</v>
      </c>
      <c r="B56" s="45">
        <f t="shared" si="8"/>
        <v>201</v>
      </c>
      <c r="C56" s="87">
        <v>23.5</v>
      </c>
      <c r="D56" s="159">
        <v>29</v>
      </c>
      <c r="K56" s="36">
        <v>401</v>
      </c>
      <c r="L56" s="48">
        <f t="shared" si="5"/>
        <v>3.3733399616504443</v>
      </c>
      <c r="N56" s="36">
        <f t="shared" si="7"/>
        <v>401</v>
      </c>
      <c r="O56" s="48">
        <f t="shared" si="6"/>
        <v>-1.1085034284558617</v>
      </c>
      <c r="P56" s="70"/>
    </row>
    <row r="57" spans="1:16" ht="15.75" thickBot="1">
      <c r="A57" s="228">
        <v>8</v>
      </c>
      <c r="B57" s="45">
        <f t="shared" si="8"/>
        <v>201</v>
      </c>
      <c r="C57" s="87">
        <v>23.1</v>
      </c>
      <c r="D57" s="159">
        <v>24.62</v>
      </c>
      <c r="K57" s="36"/>
      <c r="L57" s="48"/>
      <c r="N57" s="36"/>
      <c r="O57" s="48"/>
      <c r="P57" s="70"/>
    </row>
    <row r="58" spans="1:16" ht="15.75" thickBot="1">
      <c r="A58" s="228">
        <v>9</v>
      </c>
      <c r="B58" s="45">
        <f t="shared" si="8"/>
        <v>201</v>
      </c>
      <c r="C58" s="87">
        <v>25.2</v>
      </c>
      <c r="D58" s="159">
        <v>25.12</v>
      </c>
      <c r="K58" s="36"/>
      <c r="L58" s="48"/>
      <c r="N58" s="36"/>
      <c r="O58" s="48"/>
      <c r="P58" s="70"/>
    </row>
    <row r="59" spans="1:16" ht="15.75" thickBot="1">
      <c r="A59" s="228">
        <v>10</v>
      </c>
      <c r="B59" s="45">
        <f t="shared" si="8"/>
        <v>201</v>
      </c>
      <c r="C59" s="87">
        <v>24.2</v>
      </c>
      <c r="D59" s="159">
        <v>28.150000000000002</v>
      </c>
      <c r="K59" s="36"/>
      <c r="L59" s="48"/>
      <c r="N59" s="36"/>
      <c r="O59" s="48"/>
      <c r="P59" s="70"/>
    </row>
    <row r="60" spans="1:16" ht="15.75" thickBot="1">
      <c r="A60" s="228">
        <v>11</v>
      </c>
      <c r="B60" s="45">
        <f t="shared" si="8"/>
        <v>201</v>
      </c>
      <c r="C60" s="87">
        <v>18.5</v>
      </c>
      <c r="D60" s="159">
        <v>31.400000000000002</v>
      </c>
      <c r="K60" s="36"/>
      <c r="L60" s="48"/>
      <c r="N60" s="36"/>
      <c r="O60" s="48"/>
      <c r="P60" s="70"/>
    </row>
    <row r="61" spans="1:16" ht="15.75" thickBot="1">
      <c r="A61" s="228">
        <v>12</v>
      </c>
      <c r="B61" s="45">
        <f t="shared" si="8"/>
        <v>201</v>
      </c>
      <c r="C61" s="87">
        <v>20.5</v>
      </c>
      <c r="D61" s="159">
        <v>29.62</v>
      </c>
      <c r="K61" s="36"/>
      <c r="L61" s="48"/>
      <c r="N61" s="36"/>
      <c r="O61" s="48"/>
      <c r="P61" s="70"/>
    </row>
    <row r="62" spans="1:16" ht="15.75" thickBot="1">
      <c r="A62" s="228">
        <v>13</v>
      </c>
      <c r="B62" s="45">
        <f t="shared" si="8"/>
        <v>201</v>
      </c>
      <c r="C62" s="87">
        <v>25.1</v>
      </c>
      <c r="D62" s="159">
        <v>21.79</v>
      </c>
      <c r="K62" s="36"/>
      <c r="L62" s="48"/>
      <c r="N62" s="36"/>
      <c r="O62" s="48"/>
      <c r="P62" s="70"/>
    </row>
    <row r="63" spans="1:16" ht="15.75" thickBot="1">
      <c r="A63" s="228">
        <v>14</v>
      </c>
      <c r="B63" s="45">
        <f t="shared" si="8"/>
        <v>201</v>
      </c>
      <c r="C63" s="87">
        <v>18.899999999999999</v>
      </c>
      <c r="D63" s="159">
        <v>27.45</v>
      </c>
      <c r="K63" s="36"/>
      <c r="L63" s="48"/>
      <c r="N63" s="36"/>
      <c r="O63" s="48"/>
      <c r="P63" s="70"/>
    </row>
    <row r="64" spans="1:16" ht="15.75" thickBot="1">
      <c r="A64" s="228">
        <v>15</v>
      </c>
      <c r="B64" s="45">
        <f t="shared" si="8"/>
        <v>201</v>
      </c>
      <c r="C64" s="87">
        <v>19.7</v>
      </c>
      <c r="D64" s="159">
        <v>34.21</v>
      </c>
      <c r="K64" s="68"/>
      <c r="L64" s="69"/>
      <c r="N64" s="36"/>
      <c r="O64" s="48"/>
      <c r="P64" s="70"/>
    </row>
    <row r="65" spans="1:16" ht="15.75" thickBot="1">
      <c r="A65" s="227">
        <v>1</v>
      </c>
      <c r="B65" s="46">
        <v>202</v>
      </c>
      <c r="C65" s="70">
        <v>20</v>
      </c>
      <c r="D65" s="157">
        <v>31.8</v>
      </c>
      <c r="K65" s="47"/>
      <c r="L65" s="48"/>
      <c r="N65" s="36"/>
      <c r="O65" s="48"/>
      <c r="P65" s="70"/>
    </row>
    <row r="66" spans="1:16" ht="15.75" thickBot="1">
      <c r="A66" s="228">
        <v>2</v>
      </c>
      <c r="B66" s="45">
        <f>B65</f>
        <v>202</v>
      </c>
      <c r="C66" s="87">
        <v>22.7</v>
      </c>
      <c r="D66" s="159">
        <v>25.6</v>
      </c>
      <c r="K66" s="36"/>
      <c r="L66" s="48"/>
      <c r="N66" s="36"/>
      <c r="O66" s="48"/>
      <c r="P66" s="70"/>
    </row>
    <row r="67" spans="1:16" ht="15.75" thickBot="1">
      <c r="A67" s="228">
        <v>3</v>
      </c>
      <c r="B67" s="45">
        <f t="shared" ref="B67:B79" si="9">B66</f>
        <v>202</v>
      </c>
      <c r="C67" s="87">
        <v>23.5</v>
      </c>
      <c r="D67" s="159">
        <v>27.9</v>
      </c>
      <c r="K67" s="36"/>
      <c r="L67" s="48"/>
      <c r="N67" s="36"/>
      <c r="O67" s="48"/>
      <c r="P67" s="70"/>
    </row>
    <row r="68" spans="1:16" ht="15.75" thickBot="1">
      <c r="A68" s="228">
        <v>4</v>
      </c>
      <c r="B68" s="45">
        <f t="shared" si="9"/>
        <v>202</v>
      </c>
      <c r="C68" s="87">
        <v>16.5</v>
      </c>
      <c r="D68" s="159">
        <v>30</v>
      </c>
      <c r="K68" s="71"/>
      <c r="L68" s="72"/>
      <c r="N68" s="71"/>
      <c r="O68" s="72"/>
      <c r="P68" s="73"/>
    </row>
    <row r="69" spans="1:16">
      <c r="A69" s="228">
        <v>5</v>
      </c>
      <c r="B69" s="45">
        <f t="shared" si="9"/>
        <v>202</v>
      </c>
      <c r="C69" s="87">
        <v>29.5</v>
      </c>
      <c r="D69" s="159">
        <v>33.299999999999997</v>
      </c>
    </row>
    <row r="70" spans="1:16">
      <c r="A70" s="228">
        <v>6</v>
      </c>
      <c r="B70" s="45">
        <f t="shared" si="9"/>
        <v>202</v>
      </c>
      <c r="C70" s="87">
        <v>12.9</v>
      </c>
      <c r="D70" s="159">
        <v>26.9</v>
      </c>
    </row>
    <row r="71" spans="1:16">
      <c r="A71" s="228">
        <v>7</v>
      </c>
      <c r="B71" s="45">
        <f t="shared" si="9"/>
        <v>202</v>
      </c>
      <c r="C71" s="87">
        <v>24.5</v>
      </c>
      <c r="D71" s="159">
        <v>30</v>
      </c>
    </row>
    <row r="72" spans="1:16">
      <c r="A72" s="228">
        <v>8</v>
      </c>
      <c r="B72" s="45">
        <f t="shared" si="9"/>
        <v>202</v>
      </c>
      <c r="C72" s="87">
        <v>26.3</v>
      </c>
      <c r="D72" s="159">
        <v>27.75</v>
      </c>
    </row>
    <row r="73" spans="1:16">
      <c r="A73" s="228">
        <v>9</v>
      </c>
      <c r="B73" s="45">
        <f t="shared" si="9"/>
        <v>202</v>
      </c>
      <c r="C73" s="87">
        <v>23.9</v>
      </c>
      <c r="D73" s="159">
        <v>30.580000000000002</v>
      </c>
    </row>
    <row r="74" spans="1:16">
      <c r="A74" s="228">
        <v>10</v>
      </c>
      <c r="B74" s="45">
        <f t="shared" si="9"/>
        <v>202</v>
      </c>
      <c r="C74" s="87">
        <v>23.6</v>
      </c>
      <c r="D74" s="159">
        <v>29.27</v>
      </c>
    </row>
    <row r="75" spans="1:16">
      <c r="A75" s="228">
        <v>11</v>
      </c>
      <c r="B75" s="45">
        <f t="shared" si="9"/>
        <v>202</v>
      </c>
      <c r="C75" s="87">
        <v>20.100000000000001</v>
      </c>
      <c r="D75" s="159">
        <v>28</v>
      </c>
    </row>
    <row r="76" spans="1:16">
      <c r="A76" s="228">
        <v>12</v>
      </c>
      <c r="B76" s="45">
        <f t="shared" si="9"/>
        <v>202</v>
      </c>
      <c r="C76" s="87">
        <v>19.3</v>
      </c>
      <c r="D76" s="159">
        <v>29.89</v>
      </c>
    </row>
    <row r="77" spans="1:16">
      <c r="A77" s="228">
        <v>13</v>
      </c>
      <c r="B77" s="45">
        <f t="shared" si="9"/>
        <v>202</v>
      </c>
      <c r="C77" s="87">
        <v>22.5</v>
      </c>
      <c r="D77" s="159">
        <v>31.42</v>
      </c>
    </row>
    <row r="78" spans="1:16">
      <c r="A78" s="228">
        <v>14</v>
      </c>
      <c r="B78" s="45">
        <f t="shared" si="9"/>
        <v>202</v>
      </c>
      <c r="C78" s="87">
        <v>22.6</v>
      </c>
      <c r="D78" s="159">
        <v>28.98</v>
      </c>
    </row>
    <row r="79" spans="1:16" ht="15.75" thickBot="1">
      <c r="A79" s="228">
        <v>15</v>
      </c>
      <c r="B79" s="45">
        <f t="shared" si="9"/>
        <v>202</v>
      </c>
      <c r="C79" s="87">
        <v>20.8</v>
      </c>
      <c r="D79" s="159">
        <v>28.93</v>
      </c>
    </row>
    <row r="80" spans="1:16">
      <c r="A80" s="227">
        <v>1</v>
      </c>
      <c r="B80" s="46">
        <v>203</v>
      </c>
      <c r="C80" s="70">
        <v>19.8</v>
      </c>
      <c r="D80" s="157">
        <v>26.9</v>
      </c>
    </row>
    <row r="81" spans="1:4">
      <c r="A81" s="228">
        <v>2</v>
      </c>
      <c r="B81" s="45">
        <f>B80</f>
        <v>203</v>
      </c>
      <c r="C81" s="87">
        <v>23.8</v>
      </c>
      <c r="D81" s="159">
        <v>33.6</v>
      </c>
    </row>
    <row r="82" spans="1:4">
      <c r="A82" s="228">
        <v>3</v>
      </c>
      <c r="B82" s="45">
        <f t="shared" ref="B82:B94" si="10">B81</f>
        <v>203</v>
      </c>
      <c r="C82" s="87">
        <v>19.2</v>
      </c>
      <c r="D82" s="159">
        <v>37.299999999999997</v>
      </c>
    </row>
    <row r="83" spans="1:4">
      <c r="A83" s="228">
        <v>4</v>
      </c>
      <c r="B83" s="45">
        <f t="shared" si="10"/>
        <v>203</v>
      </c>
      <c r="C83" s="87">
        <v>11.3</v>
      </c>
      <c r="D83" s="159">
        <v>20.399999999999999</v>
      </c>
    </row>
    <row r="84" spans="1:4">
      <c r="A84" s="228">
        <v>5</v>
      </c>
      <c r="B84" s="45">
        <f t="shared" si="10"/>
        <v>203</v>
      </c>
      <c r="C84" s="87">
        <v>19.7</v>
      </c>
      <c r="D84" s="159">
        <v>28.8</v>
      </c>
    </row>
    <row r="85" spans="1:4">
      <c r="A85" s="228">
        <v>6</v>
      </c>
      <c r="B85" s="45">
        <f t="shared" si="10"/>
        <v>203</v>
      </c>
      <c r="C85" s="87">
        <v>13.1</v>
      </c>
      <c r="D85" s="159">
        <v>21.9</v>
      </c>
    </row>
    <row r="86" spans="1:4">
      <c r="A86" s="228">
        <v>7</v>
      </c>
      <c r="B86" s="45">
        <f t="shared" si="10"/>
        <v>203</v>
      </c>
      <c r="C86" s="87">
        <v>25.8</v>
      </c>
      <c r="D86" s="159">
        <v>27.2</v>
      </c>
    </row>
    <row r="87" spans="1:4">
      <c r="A87" s="228">
        <v>8</v>
      </c>
      <c r="B87" s="45">
        <f t="shared" si="10"/>
        <v>203</v>
      </c>
      <c r="C87" s="87">
        <v>22.6</v>
      </c>
      <c r="D87" s="159">
        <v>22.06</v>
      </c>
    </row>
    <row r="88" spans="1:4">
      <c r="A88" s="228">
        <v>9</v>
      </c>
      <c r="B88" s="45">
        <f t="shared" si="10"/>
        <v>203</v>
      </c>
      <c r="C88" s="87">
        <v>21.4</v>
      </c>
      <c r="D88" s="159">
        <v>22.71</v>
      </c>
    </row>
    <row r="89" spans="1:4">
      <c r="A89" s="228">
        <v>10</v>
      </c>
      <c r="B89" s="45">
        <f t="shared" si="10"/>
        <v>203</v>
      </c>
      <c r="C89" s="87">
        <v>17.8</v>
      </c>
      <c r="D89" s="159">
        <v>26.02</v>
      </c>
    </row>
    <row r="90" spans="1:4">
      <c r="A90" s="228">
        <v>11</v>
      </c>
      <c r="B90" s="45">
        <f t="shared" si="10"/>
        <v>203</v>
      </c>
      <c r="C90" s="87">
        <v>18.899999999999999</v>
      </c>
      <c r="D90" s="159">
        <v>33.61</v>
      </c>
    </row>
    <row r="91" spans="1:4">
      <c r="A91" s="228">
        <v>12</v>
      </c>
      <c r="B91" s="45">
        <f t="shared" si="10"/>
        <v>203</v>
      </c>
      <c r="C91" s="87">
        <v>26.2</v>
      </c>
      <c r="D91" s="159">
        <v>31.59</v>
      </c>
    </row>
    <row r="92" spans="1:4">
      <c r="A92" s="228">
        <v>13</v>
      </c>
      <c r="B92" s="45">
        <f t="shared" si="10"/>
        <v>203</v>
      </c>
      <c r="C92" s="87">
        <v>24.2</v>
      </c>
      <c r="D92" s="159">
        <v>24.72</v>
      </c>
    </row>
    <row r="93" spans="1:4">
      <c r="A93" s="228">
        <v>14</v>
      </c>
      <c r="B93" s="45">
        <f t="shared" si="10"/>
        <v>203</v>
      </c>
      <c r="C93" s="87">
        <v>22.4</v>
      </c>
      <c r="D93" s="159">
        <v>25.330000000000002</v>
      </c>
    </row>
    <row r="94" spans="1:4" ht="15.75" thickBot="1">
      <c r="A94" s="228">
        <v>15</v>
      </c>
      <c r="B94" s="45">
        <f t="shared" si="10"/>
        <v>203</v>
      </c>
      <c r="C94" s="87">
        <v>18.8</v>
      </c>
      <c r="D94" s="159">
        <v>38.06</v>
      </c>
    </row>
    <row r="95" spans="1:4">
      <c r="A95" s="229">
        <v>1</v>
      </c>
      <c r="B95" s="46">
        <v>301</v>
      </c>
      <c r="C95" s="70">
        <v>13.9</v>
      </c>
      <c r="D95" s="157">
        <v>34.700000000000003</v>
      </c>
    </row>
    <row r="96" spans="1:4">
      <c r="A96" s="230">
        <v>2</v>
      </c>
      <c r="B96" s="45">
        <f>B95</f>
        <v>301</v>
      </c>
      <c r="C96" s="87">
        <v>23.4</v>
      </c>
      <c r="D96" s="159">
        <v>16.3</v>
      </c>
    </row>
    <row r="97" spans="1:4">
      <c r="A97" s="230">
        <v>3</v>
      </c>
      <c r="B97" s="45">
        <f t="shared" ref="B97:B109" si="11">B96</f>
        <v>301</v>
      </c>
      <c r="C97" s="87">
        <v>29.2</v>
      </c>
      <c r="D97" s="159">
        <v>23.6</v>
      </c>
    </row>
    <row r="98" spans="1:4">
      <c r="A98" s="230">
        <v>4</v>
      </c>
      <c r="B98" s="45">
        <f t="shared" si="11"/>
        <v>301</v>
      </c>
      <c r="C98" s="87">
        <v>19.899999999999999</v>
      </c>
      <c r="D98" s="159">
        <v>17.5</v>
      </c>
    </row>
    <row r="99" spans="1:4">
      <c r="A99" s="230">
        <v>5</v>
      </c>
      <c r="B99" s="45">
        <f t="shared" si="11"/>
        <v>301</v>
      </c>
      <c r="C99" s="87">
        <v>25</v>
      </c>
      <c r="D99" s="159">
        <v>13.9</v>
      </c>
    </row>
    <row r="100" spans="1:4">
      <c r="A100" s="230">
        <v>6</v>
      </c>
      <c r="B100" s="45">
        <f t="shared" si="11"/>
        <v>301</v>
      </c>
      <c r="C100" s="87">
        <v>16.7</v>
      </c>
      <c r="D100" s="159">
        <v>20.3</v>
      </c>
    </row>
    <row r="101" spans="1:4">
      <c r="A101" s="230">
        <v>7</v>
      </c>
      <c r="B101" s="45">
        <f t="shared" si="11"/>
        <v>301</v>
      </c>
      <c r="C101" s="87">
        <v>16.899999999999999</v>
      </c>
      <c r="D101" s="159">
        <v>22.3</v>
      </c>
    </row>
    <row r="102" spans="1:4">
      <c r="A102" s="230">
        <v>8</v>
      </c>
      <c r="B102" s="45">
        <f t="shared" si="11"/>
        <v>301</v>
      </c>
      <c r="C102" s="87">
        <v>13.1</v>
      </c>
      <c r="D102" s="159">
        <v>19.47</v>
      </c>
    </row>
    <row r="103" spans="1:4">
      <c r="A103" s="230">
        <v>9</v>
      </c>
      <c r="B103" s="45">
        <f t="shared" si="11"/>
        <v>301</v>
      </c>
      <c r="C103" s="87">
        <v>23.8</v>
      </c>
      <c r="D103" s="159">
        <v>14.450000000000001</v>
      </c>
    </row>
    <row r="104" spans="1:4">
      <c r="A104" s="230">
        <v>10</v>
      </c>
      <c r="B104" s="45">
        <f t="shared" si="11"/>
        <v>301</v>
      </c>
      <c r="C104" s="87">
        <v>21.2</v>
      </c>
      <c r="D104" s="159">
        <v>18.45</v>
      </c>
    </row>
    <row r="105" spans="1:4">
      <c r="A105" s="230">
        <v>11</v>
      </c>
      <c r="B105" s="45">
        <f t="shared" si="11"/>
        <v>301</v>
      </c>
      <c r="C105" s="87">
        <v>27.1</v>
      </c>
      <c r="D105" s="159">
        <v>26.93</v>
      </c>
    </row>
    <row r="106" spans="1:4">
      <c r="A106" s="230">
        <v>12</v>
      </c>
      <c r="B106" s="45">
        <f t="shared" si="11"/>
        <v>301</v>
      </c>
      <c r="C106" s="87">
        <v>24.2</v>
      </c>
      <c r="D106" s="159">
        <v>24.77</v>
      </c>
    </row>
    <row r="107" spans="1:4">
      <c r="A107" s="230">
        <v>13</v>
      </c>
      <c r="B107" s="45">
        <f t="shared" si="11"/>
        <v>301</v>
      </c>
      <c r="C107" s="87">
        <v>28.7</v>
      </c>
      <c r="D107" s="159">
        <v>16.899999999999999</v>
      </c>
    </row>
    <row r="108" spans="1:4">
      <c r="A108" s="230">
        <v>14</v>
      </c>
      <c r="B108" s="45">
        <f t="shared" si="11"/>
        <v>301</v>
      </c>
      <c r="C108" s="87">
        <v>25.1</v>
      </c>
      <c r="D108" s="159">
        <v>17.63</v>
      </c>
    </row>
    <row r="109" spans="1:4" ht="15.75" thickBot="1">
      <c r="A109" s="230">
        <v>15</v>
      </c>
      <c r="B109" s="45">
        <f t="shared" si="11"/>
        <v>301</v>
      </c>
      <c r="C109" s="87">
        <v>23.3</v>
      </c>
      <c r="D109" s="159">
        <v>31.12</v>
      </c>
    </row>
    <row r="110" spans="1:4">
      <c r="A110" s="229">
        <v>1</v>
      </c>
      <c r="B110" s="46">
        <v>302</v>
      </c>
      <c r="C110" s="70">
        <v>16.600000000000001</v>
      </c>
      <c r="D110" s="157">
        <v>15.8</v>
      </c>
    </row>
    <row r="111" spans="1:4">
      <c r="A111" s="230">
        <v>2</v>
      </c>
      <c r="B111" s="45">
        <f>B110</f>
        <v>302</v>
      </c>
      <c r="C111" s="87">
        <v>12.3</v>
      </c>
      <c r="D111" s="159">
        <v>26.2</v>
      </c>
    </row>
    <row r="112" spans="1:4">
      <c r="A112" s="230">
        <v>3</v>
      </c>
      <c r="B112" s="45">
        <f t="shared" ref="B112:B124" si="12">B111</f>
        <v>302</v>
      </c>
      <c r="C112" s="87">
        <v>22.2</v>
      </c>
      <c r="D112" s="159">
        <v>29</v>
      </c>
    </row>
    <row r="113" spans="1:4">
      <c r="A113" s="230">
        <v>4</v>
      </c>
      <c r="B113" s="45">
        <f t="shared" si="12"/>
        <v>302</v>
      </c>
      <c r="C113" s="87">
        <v>13</v>
      </c>
      <c r="D113" s="159">
        <v>27.3</v>
      </c>
    </row>
    <row r="114" spans="1:4">
      <c r="A114" s="230">
        <v>5</v>
      </c>
      <c r="B114" s="45">
        <f t="shared" si="12"/>
        <v>302</v>
      </c>
      <c r="C114" s="87">
        <v>22.6</v>
      </c>
      <c r="D114" s="159">
        <v>25.4</v>
      </c>
    </row>
    <row r="115" spans="1:4">
      <c r="A115" s="230">
        <v>6</v>
      </c>
      <c r="B115" s="45">
        <f t="shared" si="12"/>
        <v>302</v>
      </c>
      <c r="C115" s="87">
        <v>21.6</v>
      </c>
      <c r="D115" s="159">
        <v>33</v>
      </c>
    </row>
    <row r="116" spans="1:4">
      <c r="A116" s="230">
        <v>7</v>
      </c>
      <c r="B116" s="45">
        <f t="shared" si="12"/>
        <v>302</v>
      </c>
      <c r="C116" s="87">
        <v>28.3</v>
      </c>
      <c r="D116" s="159">
        <v>28.9</v>
      </c>
    </row>
    <row r="117" spans="1:4">
      <c r="A117" s="230">
        <v>8</v>
      </c>
      <c r="B117" s="45">
        <f t="shared" si="12"/>
        <v>302</v>
      </c>
      <c r="C117" s="87">
        <v>25.9</v>
      </c>
      <c r="D117" s="159">
        <v>26.3</v>
      </c>
    </row>
    <row r="118" spans="1:4">
      <c r="A118" s="230">
        <v>9</v>
      </c>
      <c r="B118" s="45">
        <f t="shared" si="12"/>
        <v>302</v>
      </c>
      <c r="C118" s="87">
        <v>24.1</v>
      </c>
      <c r="D118" s="159">
        <v>21.42</v>
      </c>
    </row>
    <row r="119" spans="1:4">
      <c r="A119" s="230">
        <v>10</v>
      </c>
      <c r="B119" s="45">
        <f t="shared" si="12"/>
        <v>302</v>
      </c>
      <c r="C119" s="87">
        <v>25.3</v>
      </c>
      <c r="D119" s="159">
        <v>24.84</v>
      </c>
    </row>
    <row r="120" spans="1:4">
      <c r="A120" s="230">
        <v>11</v>
      </c>
      <c r="B120" s="45">
        <f t="shared" si="12"/>
        <v>302</v>
      </c>
      <c r="C120" s="87">
        <v>32.200000000000003</v>
      </c>
      <c r="D120" s="159">
        <v>26.38</v>
      </c>
    </row>
    <row r="121" spans="1:4">
      <c r="A121" s="230">
        <v>12</v>
      </c>
      <c r="B121" s="45">
        <f t="shared" si="12"/>
        <v>302</v>
      </c>
      <c r="C121" s="87">
        <v>26.1</v>
      </c>
      <c r="D121" s="159">
        <v>25.38</v>
      </c>
    </row>
    <row r="122" spans="1:4">
      <c r="A122" s="230">
        <v>13</v>
      </c>
      <c r="B122" s="45">
        <f t="shared" si="12"/>
        <v>302</v>
      </c>
      <c r="C122" s="87">
        <v>29</v>
      </c>
      <c r="D122" s="159">
        <v>28.42</v>
      </c>
    </row>
    <row r="123" spans="1:4">
      <c r="A123" s="230">
        <v>14</v>
      </c>
      <c r="B123" s="45">
        <f t="shared" si="12"/>
        <v>302</v>
      </c>
      <c r="C123" s="87">
        <v>24.2</v>
      </c>
      <c r="D123" s="159">
        <v>36.31</v>
      </c>
    </row>
    <row r="124" spans="1:4" ht="15.75" thickBot="1">
      <c r="A124" s="230">
        <v>15</v>
      </c>
      <c r="B124" s="45">
        <f t="shared" si="12"/>
        <v>302</v>
      </c>
      <c r="C124" s="87">
        <v>27.7</v>
      </c>
      <c r="D124" s="159">
        <v>22.94</v>
      </c>
    </row>
    <row r="125" spans="1:4">
      <c r="A125" s="229">
        <v>1</v>
      </c>
      <c r="B125" s="46">
        <v>303</v>
      </c>
      <c r="C125" s="70">
        <v>26.7</v>
      </c>
      <c r="D125" s="157">
        <v>38.4</v>
      </c>
    </row>
    <row r="126" spans="1:4">
      <c r="A126" s="230">
        <v>2</v>
      </c>
      <c r="B126" s="45">
        <f t="shared" ref="B126:B139" si="13">B125</f>
        <v>303</v>
      </c>
      <c r="C126" s="87">
        <v>21.6</v>
      </c>
      <c r="D126" s="159">
        <v>27.6</v>
      </c>
    </row>
    <row r="127" spans="1:4">
      <c r="A127" s="230">
        <v>3</v>
      </c>
      <c r="B127" s="45">
        <f t="shared" si="13"/>
        <v>303</v>
      </c>
      <c r="C127" s="87">
        <v>23.4</v>
      </c>
      <c r="D127" s="159">
        <v>28.8</v>
      </c>
    </row>
    <row r="128" spans="1:4">
      <c r="A128" s="230">
        <v>4</v>
      </c>
      <c r="B128" s="45">
        <f t="shared" si="13"/>
        <v>303</v>
      </c>
      <c r="C128" s="87">
        <v>28.6</v>
      </c>
      <c r="D128" s="159">
        <v>35.200000000000003</v>
      </c>
    </row>
    <row r="129" spans="1:4">
      <c r="A129" s="230">
        <v>5</v>
      </c>
      <c r="B129" s="45">
        <f t="shared" si="13"/>
        <v>303</v>
      </c>
      <c r="C129" s="87">
        <v>21.7</v>
      </c>
      <c r="D129" s="159">
        <v>29.7</v>
      </c>
    </row>
    <row r="130" spans="1:4">
      <c r="A130" s="230">
        <v>6</v>
      </c>
      <c r="B130" s="45">
        <f t="shared" si="13"/>
        <v>303</v>
      </c>
      <c r="C130" s="87">
        <v>17</v>
      </c>
      <c r="D130" s="159">
        <v>17.399999999999999</v>
      </c>
    </row>
    <row r="131" spans="1:4">
      <c r="A131" s="230">
        <v>7</v>
      </c>
      <c r="B131" s="45">
        <f t="shared" si="13"/>
        <v>303</v>
      </c>
      <c r="C131" s="87">
        <v>24.1</v>
      </c>
      <c r="D131" s="159">
        <v>30</v>
      </c>
    </row>
    <row r="132" spans="1:4">
      <c r="A132" s="230">
        <v>8</v>
      </c>
      <c r="B132" s="45">
        <f t="shared" si="13"/>
        <v>303</v>
      </c>
      <c r="C132" s="87">
        <v>30.6</v>
      </c>
      <c r="D132" s="159">
        <v>30.63</v>
      </c>
    </row>
    <row r="133" spans="1:4">
      <c r="A133" s="230">
        <v>9</v>
      </c>
      <c r="B133" s="45">
        <f t="shared" si="13"/>
        <v>303</v>
      </c>
      <c r="C133" s="87">
        <v>24.9</v>
      </c>
      <c r="D133" s="159">
        <v>31.1</v>
      </c>
    </row>
    <row r="134" spans="1:4">
      <c r="A134" s="230">
        <v>10</v>
      </c>
      <c r="B134" s="45">
        <f t="shared" si="13"/>
        <v>303</v>
      </c>
      <c r="C134" s="87">
        <v>32.700000000000003</v>
      </c>
      <c r="D134" s="159">
        <v>34.520000000000003</v>
      </c>
    </row>
    <row r="135" spans="1:4">
      <c r="A135" s="230">
        <v>11</v>
      </c>
      <c r="B135" s="45">
        <f t="shared" si="13"/>
        <v>303</v>
      </c>
      <c r="C135" s="87">
        <v>27.3</v>
      </c>
      <c r="D135" s="159">
        <v>24.64</v>
      </c>
    </row>
    <row r="136" spans="1:4">
      <c r="A136" s="230">
        <v>12</v>
      </c>
      <c r="B136" s="45">
        <f t="shared" si="13"/>
        <v>303</v>
      </c>
      <c r="C136" s="87">
        <v>22.6</v>
      </c>
      <c r="D136" s="159">
        <v>22.05</v>
      </c>
    </row>
    <row r="137" spans="1:4">
      <c r="A137" s="230">
        <v>13</v>
      </c>
      <c r="B137" s="45">
        <f t="shared" si="13"/>
        <v>303</v>
      </c>
      <c r="C137" s="87">
        <v>15.5</v>
      </c>
      <c r="D137" s="159">
        <v>32.93</v>
      </c>
    </row>
    <row r="138" spans="1:4">
      <c r="A138" s="230">
        <v>14</v>
      </c>
      <c r="B138" s="45">
        <f t="shared" si="13"/>
        <v>303</v>
      </c>
      <c r="C138" s="87">
        <v>23.8</v>
      </c>
      <c r="D138" s="159">
        <v>33.630000000000003</v>
      </c>
    </row>
    <row r="139" spans="1:4" ht="15.75" thickBot="1">
      <c r="A139" s="230">
        <v>15</v>
      </c>
      <c r="B139" s="45">
        <f t="shared" si="13"/>
        <v>303</v>
      </c>
      <c r="C139" s="87">
        <v>24</v>
      </c>
      <c r="D139" s="159">
        <v>27.14</v>
      </c>
    </row>
    <row r="140" spans="1:4">
      <c r="A140" s="227">
        <v>1</v>
      </c>
      <c r="B140" s="46">
        <v>401</v>
      </c>
      <c r="C140" s="70">
        <v>19.3</v>
      </c>
      <c r="D140" s="157">
        <v>26.1</v>
      </c>
    </row>
    <row r="141" spans="1:4">
      <c r="A141" s="228">
        <v>2</v>
      </c>
      <c r="B141" s="45">
        <f t="shared" ref="B141:B154" si="14">B140</f>
        <v>401</v>
      </c>
      <c r="C141" s="87">
        <v>25.4</v>
      </c>
      <c r="D141" s="159">
        <v>16.899999999999999</v>
      </c>
    </row>
    <row r="142" spans="1:4">
      <c r="A142" s="228">
        <v>3</v>
      </c>
      <c r="B142" s="45">
        <f t="shared" si="14"/>
        <v>401</v>
      </c>
      <c r="C142" s="87">
        <v>26.4</v>
      </c>
      <c r="D142" s="159">
        <v>32</v>
      </c>
    </row>
    <row r="143" spans="1:4">
      <c r="A143" s="228">
        <v>4</v>
      </c>
      <c r="B143" s="45">
        <f t="shared" si="14"/>
        <v>401</v>
      </c>
      <c r="C143" s="87">
        <v>24.1</v>
      </c>
      <c r="D143" s="159">
        <v>26.1</v>
      </c>
    </row>
    <row r="144" spans="1:4">
      <c r="A144" s="228">
        <v>5</v>
      </c>
      <c r="B144" s="45">
        <f t="shared" si="14"/>
        <v>401</v>
      </c>
      <c r="C144" s="87">
        <v>21</v>
      </c>
      <c r="D144" s="159">
        <v>36.200000000000003</v>
      </c>
    </row>
    <row r="145" spans="1:4">
      <c r="A145" s="228">
        <v>6</v>
      </c>
      <c r="B145" s="45">
        <f t="shared" si="14"/>
        <v>401</v>
      </c>
      <c r="C145" s="87">
        <v>23.6</v>
      </c>
      <c r="D145" s="159">
        <v>29.4</v>
      </c>
    </row>
    <row r="146" spans="1:4">
      <c r="A146" s="228">
        <v>7</v>
      </c>
      <c r="B146" s="45">
        <f t="shared" si="14"/>
        <v>401</v>
      </c>
      <c r="C146" s="87">
        <v>19.2</v>
      </c>
      <c r="D146" s="159">
        <v>21.7</v>
      </c>
    </row>
    <row r="147" spans="1:4">
      <c r="A147" s="228">
        <v>8</v>
      </c>
      <c r="B147" s="45">
        <f t="shared" si="14"/>
        <v>401</v>
      </c>
      <c r="C147" s="87">
        <v>26.6</v>
      </c>
      <c r="D147" s="159">
        <v>32.17</v>
      </c>
    </row>
    <row r="148" spans="1:4">
      <c r="A148" s="228">
        <v>9</v>
      </c>
      <c r="B148" s="45">
        <f t="shared" si="14"/>
        <v>401</v>
      </c>
      <c r="C148" s="87">
        <v>23.1</v>
      </c>
      <c r="D148" s="159">
        <v>32.83</v>
      </c>
    </row>
    <row r="149" spans="1:4">
      <c r="A149" s="228">
        <v>10</v>
      </c>
      <c r="B149" s="45">
        <f t="shared" si="14"/>
        <v>401</v>
      </c>
      <c r="C149" s="87">
        <v>27.3</v>
      </c>
      <c r="D149" s="159">
        <v>9.370000000000001</v>
      </c>
    </row>
    <row r="150" spans="1:4">
      <c r="A150" s="228">
        <v>11</v>
      </c>
      <c r="B150" s="45">
        <f t="shared" si="14"/>
        <v>401</v>
      </c>
      <c r="C150" s="87">
        <v>21.1</v>
      </c>
      <c r="D150" s="159">
        <v>26.240000000000002</v>
      </c>
    </row>
    <row r="151" spans="1:4">
      <c r="A151" s="228">
        <v>12</v>
      </c>
      <c r="B151" s="45">
        <f t="shared" si="14"/>
        <v>401</v>
      </c>
      <c r="C151" s="87">
        <v>27.5</v>
      </c>
      <c r="D151" s="159">
        <v>18.41</v>
      </c>
    </row>
    <row r="152" spans="1:4">
      <c r="A152" s="228">
        <v>13</v>
      </c>
      <c r="B152" s="45">
        <f t="shared" si="14"/>
        <v>401</v>
      </c>
      <c r="C152" s="87">
        <v>25.4</v>
      </c>
      <c r="D152" s="159">
        <v>29.54</v>
      </c>
    </row>
    <row r="153" spans="1:4">
      <c r="A153" s="228">
        <v>14</v>
      </c>
      <c r="B153" s="45">
        <f t="shared" si="14"/>
        <v>401</v>
      </c>
      <c r="C153" s="87">
        <v>27.8</v>
      </c>
      <c r="D153" s="159">
        <v>38.18</v>
      </c>
    </row>
    <row r="154" spans="1:4" ht="15.75" thickBot="1">
      <c r="A154" s="228">
        <v>15</v>
      </c>
      <c r="B154" s="45">
        <f t="shared" si="14"/>
        <v>401</v>
      </c>
      <c r="C154" s="87">
        <v>26.1</v>
      </c>
      <c r="D154" s="159">
        <v>28.32</v>
      </c>
    </row>
    <row r="155" spans="1:4">
      <c r="A155" s="227">
        <v>1</v>
      </c>
      <c r="B155" s="46">
        <v>402</v>
      </c>
      <c r="C155" s="70">
        <v>20.399999999999999</v>
      </c>
      <c r="D155" s="157">
        <v>36.4</v>
      </c>
    </row>
    <row r="156" spans="1:4">
      <c r="A156" s="228">
        <v>2</v>
      </c>
      <c r="B156" s="45">
        <f t="shared" ref="B156:B169" si="15">B155</f>
        <v>402</v>
      </c>
      <c r="C156" s="87">
        <v>26.9</v>
      </c>
      <c r="D156" s="159">
        <v>19.100000000000001</v>
      </c>
    </row>
    <row r="157" spans="1:4">
      <c r="A157" s="228">
        <v>3</v>
      </c>
      <c r="B157" s="45">
        <f t="shared" si="15"/>
        <v>402</v>
      </c>
      <c r="C157" s="87">
        <v>21.3</v>
      </c>
      <c r="D157" s="159">
        <v>28</v>
      </c>
    </row>
    <row r="158" spans="1:4">
      <c r="A158" s="228">
        <v>4</v>
      </c>
      <c r="B158" s="45">
        <f t="shared" si="15"/>
        <v>402</v>
      </c>
      <c r="C158" s="87">
        <v>23.9</v>
      </c>
      <c r="D158" s="159">
        <v>29.3</v>
      </c>
    </row>
    <row r="159" spans="1:4">
      <c r="A159" s="228">
        <v>5</v>
      </c>
      <c r="B159" s="45">
        <f t="shared" si="15"/>
        <v>402</v>
      </c>
      <c r="C159" s="87">
        <v>21.1</v>
      </c>
      <c r="D159" s="159">
        <v>25.4</v>
      </c>
    </row>
    <row r="160" spans="1:4">
      <c r="A160" s="228">
        <v>6</v>
      </c>
      <c r="B160" s="45">
        <f t="shared" si="15"/>
        <v>402</v>
      </c>
      <c r="C160" s="87">
        <v>27.5</v>
      </c>
      <c r="D160" s="159">
        <v>19</v>
      </c>
    </row>
    <row r="161" spans="1:4">
      <c r="A161" s="228">
        <v>7</v>
      </c>
      <c r="B161" s="45">
        <f t="shared" si="15"/>
        <v>402</v>
      </c>
      <c r="C161" s="87">
        <v>28.4</v>
      </c>
      <c r="D161" s="159">
        <v>13.7</v>
      </c>
    </row>
    <row r="162" spans="1:4">
      <c r="A162" s="228">
        <v>8</v>
      </c>
      <c r="B162" s="45">
        <f t="shared" si="15"/>
        <v>402</v>
      </c>
      <c r="C162" s="87">
        <v>22.2</v>
      </c>
      <c r="D162" s="159">
        <v>23.38</v>
      </c>
    </row>
    <row r="163" spans="1:4">
      <c r="A163" s="228">
        <v>9</v>
      </c>
      <c r="B163" s="45">
        <f t="shared" si="15"/>
        <v>402</v>
      </c>
      <c r="C163" s="87">
        <v>20.3</v>
      </c>
      <c r="D163" s="159">
        <v>29.54</v>
      </c>
    </row>
    <row r="164" spans="1:4">
      <c r="A164" s="228">
        <v>10</v>
      </c>
      <c r="B164" s="45">
        <f t="shared" si="15"/>
        <v>402</v>
      </c>
      <c r="C164" s="87">
        <v>21.19</v>
      </c>
      <c r="D164" s="159">
        <v>21.95</v>
      </c>
    </row>
    <row r="165" spans="1:4">
      <c r="A165" s="228">
        <v>11</v>
      </c>
      <c r="B165" s="45">
        <f t="shared" si="15"/>
        <v>402</v>
      </c>
      <c r="C165" s="87">
        <v>26.2</v>
      </c>
      <c r="D165" s="159">
        <v>24.330000000000002</v>
      </c>
    </row>
    <row r="166" spans="1:4">
      <c r="A166" s="228">
        <v>12</v>
      </c>
      <c r="B166" s="45">
        <f t="shared" si="15"/>
        <v>402</v>
      </c>
      <c r="C166" s="87">
        <v>25.2</v>
      </c>
      <c r="D166" s="159">
        <v>32.9</v>
      </c>
    </row>
    <row r="167" spans="1:4">
      <c r="A167" s="228">
        <v>13</v>
      </c>
      <c r="B167" s="45">
        <f t="shared" si="15"/>
        <v>402</v>
      </c>
      <c r="C167" s="87">
        <v>19.7</v>
      </c>
      <c r="D167" s="159">
        <v>8.89</v>
      </c>
    </row>
    <row r="168" spans="1:4">
      <c r="A168" s="228">
        <v>14</v>
      </c>
      <c r="B168" s="45">
        <f t="shared" si="15"/>
        <v>402</v>
      </c>
      <c r="C168" s="87">
        <v>18.7</v>
      </c>
      <c r="D168" s="159">
        <v>31.400000000000002</v>
      </c>
    </row>
    <row r="169" spans="1:4" ht="15.75" thickBot="1">
      <c r="A169" s="228">
        <v>15</v>
      </c>
      <c r="B169" s="45">
        <f t="shared" si="15"/>
        <v>402</v>
      </c>
      <c r="C169" s="87">
        <v>24.6</v>
      </c>
      <c r="D169" s="159">
        <v>23.01</v>
      </c>
    </row>
    <row r="170" spans="1:4">
      <c r="A170" s="227">
        <v>1</v>
      </c>
      <c r="B170" s="46">
        <v>403</v>
      </c>
      <c r="C170" s="70">
        <v>22.1</v>
      </c>
      <c r="D170" s="157">
        <v>32.700000000000003</v>
      </c>
    </row>
    <row r="171" spans="1:4">
      <c r="A171" s="228">
        <v>2</v>
      </c>
      <c r="B171" s="45">
        <f t="shared" ref="B171:B184" si="16">B170</f>
        <v>403</v>
      </c>
      <c r="C171" s="87">
        <v>25.9</v>
      </c>
      <c r="D171" s="159">
        <v>25.8</v>
      </c>
    </row>
    <row r="172" spans="1:4">
      <c r="A172" s="228">
        <v>3</v>
      </c>
      <c r="B172" s="45">
        <f t="shared" si="16"/>
        <v>403</v>
      </c>
      <c r="C172" s="87">
        <v>24.3</v>
      </c>
      <c r="D172" s="159">
        <v>31.8</v>
      </c>
    </row>
    <row r="173" spans="1:4">
      <c r="A173" s="228">
        <v>4</v>
      </c>
      <c r="B173" s="45">
        <f t="shared" si="16"/>
        <v>403</v>
      </c>
      <c r="C173" s="87">
        <v>25.1</v>
      </c>
      <c r="D173" s="159">
        <v>37.299999999999997</v>
      </c>
    </row>
    <row r="174" spans="1:4">
      <c r="A174" s="228">
        <v>5</v>
      </c>
      <c r="B174" s="45">
        <f t="shared" si="16"/>
        <v>403</v>
      </c>
      <c r="C174" s="87">
        <v>20</v>
      </c>
      <c r="D174" s="159">
        <v>26.5</v>
      </c>
    </row>
    <row r="175" spans="1:4">
      <c r="A175" s="228">
        <v>6</v>
      </c>
      <c r="B175" s="45">
        <f t="shared" si="16"/>
        <v>403</v>
      </c>
      <c r="C175" s="87">
        <v>21.3</v>
      </c>
      <c r="D175" s="159">
        <v>35</v>
      </c>
    </row>
    <row r="176" spans="1:4">
      <c r="A176" s="228">
        <v>7</v>
      </c>
      <c r="B176" s="45">
        <f t="shared" si="16"/>
        <v>403</v>
      </c>
      <c r="C176" s="87">
        <v>21.9</v>
      </c>
      <c r="D176" s="159">
        <v>26.8</v>
      </c>
    </row>
    <row r="177" spans="1:4">
      <c r="A177" s="228">
        <v>8</v>
      </c>
      <c r="B177" s="45">
        <f t="shared" si="16"/>
        <v>403</v>
      </c>
      <c r="C177" s="87">
        <v>22.6</v>
      </c>
      <c r="D177" s="159">
        <v>31.21</v>
      </c>
    </row>
    <row r="178" spans="1:4">
      <c r="A178" s="228">
        <v>9</v>
      </c>
      <c r="B178" s="45">
        <f t="shared" si="16"/>
        <v>403</v>
      </c>
      <c r="C178" s="87">
        <v>22.8</v>
      </c>
      <c r="D178" s="159">
        <v>36.1</v>
      </c>
    </row>
    <row r="179" spans="1:4">
      <c r="A179" s="228">
        <v>10</v>
      </c>
      <c r="B179" s="45">
        <f t="shared" si="16"/>
        <v>403</v>
      </c>
      <c r="C179" s="87">
        <v>20.399999999999999</v>
      </c>
      <c r="D179" s="159">
        <v>29.38</v>
      </c>
    </row>
    <row r="180" spans="1:4">
      <c r="A180" s="228">
        <v>11</v>
      </c>
      <c r="B180" s="45">
        <f t="shared" si="16"/>
        <v>403</v>
      </c>
      <c r="C180" s="87">
        <v>25.1</v>
      </c>
      <c r="D180" s="159">
        <v>36.19</v>
      </c>
    </row>
    <row r="181" spans="1:4">
      <c r="A181" s="228">
        <v>12</v>
      </c>
      <c r="B181" s="45">
        <f t="shared" si="16"/>
        <v>403</v>
      </c>
      <c r="C181" s="87">
        <v>23.4</v>
      </c>
      <c r="D181" s="159">
        <v>24.92</v>
      </c>
    </row>
    <row r="182" spans="1:4">
      <c r="A182" s="228">
        <v>13</v>
      </c>
      <c r="B182" s="45">
        <f t="shared" si="16"/>
        <v>403</v>
      </c>
      <c r="C182" s="87">
        <v>16</v>
      </c>
      <c r="D182" s="159">
        <v>40.08</v>
      </c>
    </row>
    <row r="183" spans="1:4">
      <c r="A183" s="228">
        <v>14</v>
      </c>
      <c r="B183" s="45">
        <f t="shared" si="16"/>
        <v>403</v>
      </c>
      <c r="C183" s="87">
        <v>18.2</v>
      </c>
      <c r="D183" s="159">
        <v>28.86</v>
      </c>
    </row>
    <row r="184" spans="1:4" ht="15.75" thickBot="1">
      <c r="A184" s="231">
        <v>15</v>
      </c>
      <c r="B184" s="232">
        <f t="shared" si="16"/>
        <v>403</v>
      </c>
      <c r="C184" s="88">
        <v>13.9</v>
      </c>
      <c r="D184" s="160">
        <v>19.98</v>
      </c>
    </row>
  </sheetData>
  <mergeCells count="10">
    <mergeCell ref="F13:F16"/>
    <mergeCell ref="K29:L29"/>
    <mergeCell ref="K43:L43"/>
    <mergeCell ref="U2:Y2"/>
    <mergeCell ref="F5:F8"/>
    <mergeCell ref="A2:C2"/>
    <mergeCell ref="F2:G2"/>
    <mergeCell ref="K2:L2"/>
    <mergeCell ref="O2:P2"/>
    <mergeCell ref="F9:F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B8A7-FC84-4BF0-8CB3-C41D9B2CE5BB}">
  <sheetPr>
    <tabColor rgb="FF92D050"/>
  </sheetPr>
  <dimension ref="A1:O108"/>
  <sheetViews>
    <sheetView zoomScale="85" zoomScaleNormal="85" workbookViewId="0">
      <selection activeCell="K25" sqref="K25"/>
    </sheetView>
  </sheetViews>
  <sheetFormatPr defaultColWidth="11.5703125" defaultRowHeight="15"/>
  <cols>
    <col min="1" max="1" width="3.28515625" style="40" bestFit="1" customWidth="1"/>
    <col min="2" max="2" width="5.28515625" style="40" customWidth="1"/>
    <col min="3" max="3" width="14.28515625" style="40" customWidth="1"/>
    <col min="4" max="4" width="14.7109375" style="172" customWidth="1"/>
    <col min="5" max="5" width="15.5703125" style="172" customWidth="1"/>
    <col min="6" max="6" width="10.7109375" style="40" bestFit="1" customWidth="1"/>
    <col min="7" max="9" width="11.5703125" style="40"/>
    <col min="10" max="10" width="9.7109375" style="40" customWidth="1"/>
    <col min="11" max="11" width="28.5703125" style="40" customWidth="1"/>
    <col min="12" max="12" width="15.42578125" style="40" customWidth="1"/>
    <col min="13" max="13" width="14.85546875" style="40" customWidth="1"/>
    <col min="14" max="15" width="11.5703125" style="40"/>
    <col min="16" max="16" width="15.140625" style="40" customWidth="1"/>
    <col min="17" max="16384" width="11.5703125" style="40"/>
  </cols>
  <sheetData>
    <row r="1" spans="1:15">
      <c r="C1" s="83"/>
      <c r="D1" s="170"/>
      <c r="E1" s="185"/>
    </row>
    <row r="2" spans="1:15" ht="19.5" thickBot="1">
      <c r="A2" s="382" t="s">
        <v>150</v>
      </c>
      <c r="B2" s="382"/>
      <c r="C2" s="382"/>
      <c r="D2" s="382"/>
      <c r="E2" s="253" t="s">
        <v>151</v>
      </c>
      <c r="G2" s="383" t="s">
        <v>133</v>
      </c>
      <c r="H2" s="383"/>
      <c r="K2" s="384" t="s">
        <v>134</v>
      </c>
      <c r="L2" s="384"/>
      <c r="M2" s="44"/>
      <c r="N2" s="388" t="s">
        <v>152</v>
      </c>
      <c r="O2" s="388"/>
    </row>
    <row r="3" spans="1:15" ht="15.75" thickBot="1">
      <c r="C3" s="85"/>
      <c r="D3" s="187"/>
      <c r="E3" s="252"/>
      <c r="F3" s="89"/>
      <c r="G3" s="89"/>
      <c r="H3" s="89"/>
      <c r="I3" s="62"/>
      <c r="L3" s="334" t="s">
        <v>153</v>
      </c>
      <c r="O3" s="334" t="s">
        <v>153</v>
      </c>
    </row>
    <row r="4" spans="1:15" ht="15.75" thickBot="1">
      <c r="A4" s="37"/>
      <c r="B4" s="45"/>
      <c r="C4" s="342" t="s">
        <v>154</v>
      </c>
      <c r="D4" s="342" t="s">
        <v>155</v>
      </c>
      <c r="E4" s="342" t="s">
        <v>156</v>
      </c>
      <c r="G4" s="37"/>
      <c r="H4" s="37"/>
      <c r="I4" s="35" t="s">
        <v>153</v>
      </c>
      <c r="J4" s="89"/>
      <c r="K4" s="336" t="s">
        <v>142</v>
      </c>
      <c r="L4" s="157">
        <f>AVERAGE(I5:I8)</f>
        <v>58.655440461057438</v>
      </c>
      <c r="N4" s="201" t="s">
        <v>142</v>
      </c>
      <c r="O4" s="339">
        <f>L4*100/L$4-100</f>
        <v>0</v>
      </c>
    </row>
    <row r="5" spans="1:15">
      <c r="A5" s="39">
        <v>1</v>
      </c>
      <c r="B5" s="46">
        <v>101</v>
      </c>
      <c r="C5" s="157">
        <f>D5/E5*100</f>
        <v>58.333333333333336</v>
      </c>
      <c r="D5" s="208">
        <v>7</v>
      </c>
      <c r="E5" s="208">
        <v>12</v>
      </c>
      <c r="G5" s="390" t="s">
        <v>38</v>
      </c>
      <c r="H5" s="249">
        <v>101</v>
      </c>
      <c r="I5" s="70">
        <f t="shared" ref="I5:I16" si="0">AVERAGEIF(B:B,H5,C:C)</f>
        <v>74.119769119769117</v>
      </c>
      <c r="K5" s="337" t="s">
        <v>43</v>
      </c>
      <c r="L5" s="159">
        <f>AVERAGE(I9:I12)</f>
        <v>57.174611624799596</v>
      </c>
      <c r="N5" s="86" t="s">
        <v>43</v>
      </c>
      <c r="O5" s="340">
        <f>L5*100/L$4-100</f>
        <v>-2.5246231630312082</v>
      </c>
    </row>
    <row r="6" spans="1:15" ht="15.75" thickBot="1">
      <c r="A6" s="38">
        <v>2</v>
      </c>
      <c r="B6" s="45">
        <f>B5</f>
        <v>101</v>
      </c>
      <c r="C6" s="159">
        <f t="shared" ref="C6:C11" si="1">D6/E6*100</f>
        <v>70</v>
      </c>
      <c r="D6" s="210">
        <v>7</v>
      </c>
      <c r="E6" s="210">
        <v>10</v>
      </c>
      <c r="G6" s="391"/>
      <c r="H6" s="250">
        <v>201</v>
      </c>
      <c r="I6" s="87">
        <f t="shared" si="0"/>
        <v>65.429808286951129</v>
      </c>
      <c r="K6" s="338" t="s">
        <v>47</v>
      </c>
      <c r="L6" s="160">
        <f>AVERAGE(I13:I16)</f>
        <v>52.563051152862073</v>
      </c>
      <c r="N6" s="205" t="s">
        <v>47</v>
      </c>
      <c r="O6" s="341">
        <f>L6*100/L$4-100</f>
        <v>-10.386742065708688</v>
      </c>
    </row>
    <row r="7" spans="1:15">
      <c r="A7" s="38">
        <v>3</v>
      </c>
      <c r="B7" s="45">
        <f t="shared" ref="B7:B11" si="2">B6</f>
        <v>101</v>
      </c>
      <c r="C7" s="159">
        <f t="shared" si="1"/>
        <v>40</v>
      </c>
      <c r="D7" s="210">
        <v>4</v>
      </c>
      <c r="E7" s="210">
        <v>10</v>
      </c>
      <c r="G7" s="391"/>
      <c r="H7" s="250">
        <v>303</v>
      </c>
      <c r="I7" s="87">
        <f t="shared" si="0"/>
        <v>52.255134172427404</v>
      </c>
    </row>
    <row r="8" spans="1:15" ht="15.75" thickBot="1">
      <c r="A8" s="38">
        <v>4</v>
      </c>
      <c r="B8" s="45">
        <f t="shared" si="2"/>
        <v>101</v>
      </c>
      <c r="C8" s="159">
        <f t="shared" si="1"/>
        <v>72.727272727272734</v>
      </c>
      <c r="D8" s="210">
        <v>8</v>
      </c>
      <c r="E8" s="210">
        <v>11</v>
      </c>
      <c r="G8" s="392"/>
      <c r="H8" s="251">
        <v>403</v>
      </c>
      <c r="I8" s="88">
        <f t="shared" si="0"/>
        <v>42.817050265082102</v>
      </c>
    </row>
    <row r="9" spans="1:15">
      <c r="A9" s="38">
        <v>5</v>
      </c>
      <c r="B9" s="45">
        <f t="shared" si="2"/>
        <v>101</v>
      </c>
      <c r="C9" s="159">
        <f t="shared" si="1"/>
        <v>100</v>
      </c>
      <c r="D9" s="210">
        <v>5</v>
      </c>
      <c r="E9" s="210">
        <v>5</v>
      </c>
      <c r="G9" s="390" t="s">
        <v>42</v>
      </c>
      <c r="H9" s="249">
        <v>102</v>
      </c>
      <c r="I9" s="70">
        <f t="shared" si="0"/>
        <v>73.950216450216459</v>
      </c>
    </row>
    <row r="10" spans="1:15">
      <c r="A10" s="38">
        <v>6</v>
      </c>
      <c r="B10" s="45">
        <f t="shared" si="2"/>
        <v>101</v>
      </c>
      <c r="C10" s="159">
        <f t="shared" si="1"/>
        <v>100</v>
      </c>
      <c r="D10" s="210">
        <v>8</v>
      </c>
      <c r="E10" s="210">
        <v>8</v>
      </c>
      <c r="G10" s="391"/>
      <c r="H10" s="250">
        <v>202</v>
      </c>
      <c r="I10" s="87">
        <f t="shared" si="0"/>
        <v>51.43215180809166</v>
      </c>
    </row>
    <row r="11" spans="1:15" ht="15.75" thickBot="1">
      <c r="A11" s="38">
        <v>7</v>
      </c>
      <c r="B11" s="45">
        <f t="shared" si="2"/>
        <v>101</v>
      </c>
      <c r="C11" s="159">
        <f t="shared" si="1"/>
        <v>77.777777777777786</v>
      </c>
      <c r="D11" s="210">
        <v>7</v>
      </c>
      <c r="E11" s="210">
        <v>9</v>
      </c>
      <c r="G11" s="391"/>
      <c r="H11" s="250">
        <v>302</v>
      </c>
      <c r="I11" s="87">
        <f t="shared" si="0"/>
        <v>42.178297892583601</v>
      </c>
    </row>
    <row r="12" spans="1:15" ht="15.75" thickBot="1">
      <c r="A12" s="39">
        <v>1</v>
      </c>
      <c r="B12" s="46">
        <v>102</v>
      </c>
      <c r="C12" s="343">
        <f>D12/E12*100</f>
        <v>90</v>
      </c>
      <c r="D12" s="214">
        <v>9</v>
      </c>
      <c r="E12" s="215">
        <v>10</v>
      </c>
      <c r="G12" s="392"/>
      <c r="H12" s="251">
        <v>402</v>
      </c>
      <c r="I12" s="88">
        <f t="shared" si="0"/>
        <v>61.137780348306663</v>
      </c>
    </row>
    <row r="13" spans="1:15">
      <c r="A13" s="38">
        <v>2</v>
      </c>
      <c r="B13" s="45">
        <f>B12</f>
        <v>102</v>
      </c>
      <c r="C13" s="344">
        <f t="shared" ref="C13:C18" si="3">D13/E13*100</f>
        <v>27.27272727272727</v>
      </c>
      <c r="D13" s="216">
        <v>3</v>
      </c>
      <c r="E13" s="217">
        <v>11</v>
      </c>
      <c r="G13" s="390" t="s">
        <v>46</v>
      </c>
      <c r="H13" s="249">
        <v>103</v>
      </c>
      <c r="I13" s="70">
        <f t="shared" si="0"/>
        <v>62.185592185592178</v>
      </c>
    </row>
    <row r="14" spans="1:15">
      <c r="A14" s="38">
        <v>3</v>
      </c>
      <c r="B14" s="45">
        <f t="shared" ref="B14:B18" si="4">B13</f>
        <v>102</v>
      </c>
      <c r="C14" s="344">
        <f t="shared" si="3"/>
        <v>72.727272727272734</v>
      </c>
      <c r="D14" s="216">
        <v>8</v>
      </c>
      <c r="E14" s="217">
        <v>11</v>
      </c>
      <c r="G14" s="391"/>
      <c r="H14" s="250">
        <v>203</v>
      </c>
      <c r="I14" s="87">
        <f t="shared" si="0"/>
        <v>52.982117089259944</v>
      </c>
    </row>
    <row r="15" spans="1:15">
      <c r="A15" s="38">
        <v>4</v>
      </c>
      <c r="B15" s="45">
        <f t="shared" si="4"/>
        <v>102</v>
      </c>
      <c r="C15" s="344">
        <f t="shared" si="3"/>
        <v>87.5</v>
      </c>
      <c r="D15" s="216">
        <v>7</v>
      </c>
      <c r="E15" s="217">
        <v>8</v>
      </c>
      <c r="G15" s="391"/>
      <c r="H15" s="250">
        <v>301</v>
      </c>
      <c r="I15" s="87">
        <f t="shared" si="0"/>
        <v>46.336996336996336</v>
      </c>
    </row>
    <row r="16" spans="1:15" ht="15.75" thickBot="1">
      <c r="A16" s="38">
        <v>5</v>
      </c>
      <c r="B16" s="45">
        <f t="shared" si="4"/>
        <v>102</v>
      </c>
      <c r="C16" s="344">
        <f t="shared" si="3"/>
        <v>83.333333333333343</v>
      </c>
      <c r="D16" s="216">
        <v>5</v>
      </c>
      <c r="E16" s="217">
        <v>6</v>
      </c>
      <c r="G16" s="392"/>
      <c r="H16" s="251">
        <v>401</v>
      </c>
      <c r="I16" s="88">
        <f t="shared" si="0"/>
        <v>48.747498999599834</v>
      </c>
    </row>
    <row r="17" spans="1:12">
      <c r="A17" s="38">
        <v>6</v>
      </c>
      <c r="B17" s="45">
        <f t="shared" si="4"/>
        <v>102</v>
      </c>
      <c r="C17" s="344">
        <f t="shared" si="3"/>
        <v>81.818181818181827</v>
      </c>
      <c r="D17" s="216">
        <v>9</v>
      </c>
      <c r="E17" s="217">
        <v>11</v>
      </c>
      <c r="G17" s="180"/>
      <c r="H17" s="37"/>
      <c r="I17" s="158"/>
    </row>
    <row r="18" spans="1:12" ht="15.75" thickBot="1">
      <c r="A18" s="38">
        <v>7</v>
      </c>
      <c r="B18" s="45">
        <f t="shared" si="4"/>
        <v>102</v>
      </c>
      <c r="C18" s="345">
        <f t="shared" si="3"/>
        <v>75</v>
      </c>
      <c r="D18" s="218">
        <v>6</v>
      </c>
      <c r="E18" s="219">
        <v>8</v>
      </c>
      <c r="G18" s="180"/>
      <c r="H18" s="37"/>
      <c r="I18" s="158"/>
    </row>
    <row r="19" spans="1:12">
      <c r="A19" s="39">
        <v>1</v>
      </c>
      <c r="B19" s="46">
        <v>103</v>
      </c>
      <c r="C19" s="176">
        <f>D19/E19*100</f>
        <v>66.666666666666657</v>
      </c>
      <c r="D19" s="220">
        <v>2</v>
      </c>
      <c r="E19" s="220">
        <v>3</v>
      </c>
      <c r="G19" s="180"/>
      <c r="H19" s="37"/>
      <c r="I19" s="158"/>
    </row>
    <row r="20" spans="1:12">
      <c r="A20" s="38">
        <v>2</v>
      </c>
      <c r="B20" s="45">
        <f>B19</f>
        <v>103</v>
      </c>
      <c r="C20" s="159">
        <f t="shared" ref="C20:C25" si="5">D20/E20*100</f>
        <v>92.307692307692307</v>
      </c>
      <c r="D20" s="210">
        <v>12</v>
      </c>
      <c r="E20" s="210">
        <v>13</v>
      </c>
      <c r="G20" s="180"/>
      <c r="H20" s="37"/>
      <c r="I20" s="158"/>
    </row>
    <row r="21" spans="1:12">
      <c r="A21" s="38">
        <v>3</v>
      </c>
      <c r="B21" s="45">
        <f t="shared" ref="B21:B25" si="6">B20</f>
        <v>103</v>
      </c>
      <c r="C21" s="159">
        <f t="shared" si="5"/>
        <v>77.777777777777786</v>
      </c>
      <c r="D21" s="210">
        <v>7</v>
      </c>
      <c r="E21" s="210">
        <v>9</v>
      </c>
      <c r="G21" s="180"/>
      <c r="H21" s="37"/>
      <c r="I21" s="158"/>
    </row>
    <row r="22" spans="1:12">
      <c r="A22" s="38">
        <v>4</v>
      </c>
      <c r="B22" s="45">
        <f t="shared" si="6"/>
        <v>103</v>
      </c>
      <c r="C22" s="159">
        <f t="shared" si="5"/>
        <v>40</v>
      </c>
      <c r="D22" s="210">
        <v>6</v>
      </c>
      <c r="E22" s="210">
        <v>15</v>
      </c>
      <c r="G22" s="180"/>
      <c r="H22" s="37"/>
      <c r="I22" s="158"/>
    </row>
    <row r="23" spans="1:12">
      <c r="A23" s="38">
        <v>5</v>
      </c>
      <c r="B23" s="45">
        <f t="shared" si="6"/>
        <v>103</v>
      </c>
      <c r="C23" s="159">
        <f t="shared" si="5"/>
        <v>50</v>
      </c>
      <c r="D23" s="210">
        <v>1</v>
      </c>
      <c r="E23" s="210">
        <v>2</v>
      </c>
      <c r="G23" s="180"/>
      <c r="H23" s="37"/>
      <c r="I23" s="158"/>
    </row>
    <row r="24" spans="1:12">
      <c r="A24" s="38">
        <v>6</v>
      </c>
      <c r="B24" s="45">
        <f t="shared" si="6"/>
        <v>103</v>
      </c>
      <c r="C24" s="159">
        <f t="shared" si="5"/>
        <v>77.777777777777786</v>
      </c>
      <c r="D24" s="210">
        <v>7</v>
      </c>
      <c r="E24" s="210">
        <v>9</v>
      </c>
      <c r="G24" s="180"/>
      <c r="H24" s="37"/>
      <c r="I24" s="158"/>
    </row>
    <row r="25" spans="1:12" ht="15.75" thickBot="1">
      <c r="A25" s="38">
        <v>7</v>
      </c>
      <c r="B25" s="45">
        <f t="shared" si="6"/>
        <v>103</v>
      </c>
      <c r="C25" s="159">
        <f t="shared" si="5"/>
        <v>30.76923076923077</v>
      </c>
      <c r="D25" s="210">
        <v>4</v>
      </c>
      <c r="E25" s="210">
        <v>13</v>
      </c>
      <c r="G25" s="180"/>
      <c r="H25" s="37"/>
      <c r="I25" s="158"/>
    </row>
    <row r="26" spans="1:12">
      <c r="A26" s="39">
        <v>1</v>
      </c>
      <c r="B26" s="46">
        <v>201</v>
      </c>
      <c r="C26" s="157">
        <f>D26/E26*100</f>
        <v>100</v>
      </c>
      <c r="D26" s="208">
        <v>14</v>
      </c>
      <c r="E26" s="208">
        <v>14</v>
      </c>
      <c r="G26" s="180"/>
      <c r="H26" s="37"/>
      <c r="I26" s="158"/>
    </row>
    <row r="27" spans="1:12">
      <c r="A27" s="38">
        <v>2</v>
      </c>
      <c r="B27" s="45">
        <f>B26</f>
        <v>201</v>
      </c>
      <c r="C27" s="159">
        <f t="shared" ref="C27:C32" si="7">D27/E27*100</f>
        <v>100</v>
      </c>
      <c r="D27" s="210">
        <v>9</v>
      </c>
      <c r="E27" s="210">
        <v>9</v>
      </c>
      <c r="G27" s="180"/>
      <c r="H27" s="37"/>
      <c r="I27" s="158"/>
    </row>
    <row r="28" spans="1:12">
      <c r="A28" s="38">
        <v>3</v>
      </c>
      <c r="B28" s="45">
        <f t="shared" ref="B28:B32" si="8">B27</f>
        <v>201</v>
      </c>
      <c r="C28" s="159">
        <f t="shared" si="7"/>
        <v>66.666666666666657</v>
      </c>
      <c r="D28" s="210">
        <v>10</v>
      </c>
      <c r="E28" s="210">
        <v>15</v>
      </c>
      <c r="G28" s="180"/>
      <c r="H28" s="37"/>
      <c r="I28" s="158"/>
    </row>
    <row r="29" spans="1:12">
      <c r="A29" s="38">
        <v>4</v>
      </c>
      <c r="B29" s="45">
        <f t="shared" si="8"/>
        <v>201</v>
      </c>
      <c r="C29" s="159">
        <f t="shared" si="7"/>
        <v>63.636363636363633</v>
      </c>
      <c r="D29" s="210">
        <v>7</v>
      </c>
      <c r="E29" s="210">
        <v>11</v>
      </c>
      <c r="G29" s="180"/>
      <c r="H29" s="37"/>
      <c r="I29" s="158"/>
      <c r="K29" s="330"/>
      <c r="L29" s="330"/>
    </row>
    <row r="30" spans="1:12">
      <c r="A30" s="38">
        <v>5</v>
      </c>
      <c r="B30" s="45">
        <f t="shared" si="8"/>
        <v>201</v>
      </c>
      <c r="C30" s="159">
        <f t="shared" si="7"/>
        <v>42.857142857142854</v>
      </c>
      <c r="D30" s="210">
        <v>6</v>
      </c>
      <c r="E30" s="210">
        <v>14</v>
      </c>
      <c r="G30" s="180"/>
      <c r="H30" s="37"/>
      <c r="I30" s="158"/>
    </row>
    <row r="31" spans="1:12">
      <c r="A31" s="38">
        <v>6</v>
      </c>
      <c r="B31" s="45">
        <f t="shared" si="8"/>
        <v>201</v>
      </c>
      <c r="C31" s="159">
        <f t="shared" si="7"/>
        <v>18.181818181818183</v>
      </c>
      <c r="D31" s="210">
        <v>2</v>
      </c>
      <c r="E31" s="210">
        <v>11</v>
      </c>
      <c r="G31" s="180"/>
      <c r="H31" s="37"/>
      <c r="I31" s="158"/>
    </row>
    <row r="32" spans="1:12" ht="15.75" thickBot="1">
      <c r="A32" s="38">
        <v>7</v>
      </c>
      <c r="B32" s="45">
        <f t="shared" si="8"/>
        <v>201</v>
      </c>
      <c r="C32" s="159">
        <f t="shared" si="7"/>
        <v>66.666666666666657</v>
      </c>
      <c r="D32" s="210">
        <v>8</v>
      </c>
      <c r="E32" s="210">
        <v>12</v>
      </c>
      <c r="G32" s="180"/>
      <c r="H32" s="37"/>
      <c r="I32" s="158"/>
    </row>
    <row r="33" spans="1:12">
      <c r="A33" s="39">
        <v>1</v>
      </c>
      <c r="B33" s="46">
        <v>202</v>
      </c>
      <c r="C33" s="157">
        <f>D33/E33*100</f>
        <v>20</v>
      </c>
      <c r="D33" s="208">
        <v>2</v>
      </c>
      <c r="E33" s="208">
        <v>10</v>
      </c>
    </row>
    <row r="34" spans="1:12">
      <c r="A34" s="38">
        <v>2</v>
      </c>
      <c r="B34" s="45">
        <f>B33</f>
        <v>202</v>
      </c>
      <c r="C34" s="159">
        <f t="shared" ref="C34:C39" si="9">D34/E34*100</f>
        <v>57.894736842105267</v>
      </c>
      <c r="D34" s="210">
        <v>11</v>
      </c>
      <c r="E34" s="210">
        <v>19</v>
      </c>
    </row>
    <row r="35" spans="1:12">
      <c r="A35" s="38">
        <v>3</v>
      </c>
      <c r="B35" s="45">
        <f t="shared" ref="B35:B39" si="10">B34</f>
        <v>202</v>
      </c>
      <c r="C35" s="159">
        <f t="shared" si="9"/>
        <v>47.368421052631575</v>
      </c>
      <c r="D35" s="210">
        <v>9</v>
      </c>
      <c r="E35" s="210">
        <v>19</v>
      </c>
    </row>
    <row r="36" spans="1:12">
      <c r="A36" s="38">
        <v>4</v>
      </c>
      <c r="B36" s="45">
        <f t="shared" si="10"/>
        <v>202</v>
      </c>
      <c r="C36" s="159">
        <f t="shared" si="9"/>
        <v>66.666666666666657</v>
      </c>
      <c r="D36" s="210">
        <v>4</v>
      </c>
      <c r="E36" s="210">
        <v>6</v>
      </c>
      <c r="K36" s="183"/>
      <c r="L36" s="183"/>
    </row>
    <row r="37" spans="1:12">
      <c r="A37" s="38">
        <v>5</v>
      </c>
      <c r="B37" s="45">
        <f t="shared" si="10"/>
        <v>202</v>
      </c>
      <c r="C37" s="159">
        <f t="shared" si="9"/>
        <v>83.333333333333343</v>
      </c>
      <c r="D37" s="210">
        <v>5</v>
      </c>
      <c r="E37" s="210">
        <v>6</v>
      </c>
      <c r="K37" s="183"/>
      <c r="L37" s="183"/>
    </row>
    <row r="38" spans="1:12">
      <c r="A38" s="38">
        <v>6</v>
      </c>
      <c r="B38" s="45">
        <f t="shared" si="10"/>
        <v>202</v>
      </c>
      <c r="C38" s="159">
        <f t="shared" si="9"/>
        <v>13.333333333333334</v>
      </c>
      <c r="D38" s="210">
        <v>2</v>
      </c>
      <c r="E38" s="210">
        <v>15</v>
      </c>
    </row>
    <row r="39" spans="1:12" ht="15.75" thickBot="1">
      <c r="A39" s="38">
        <v>7</v>
      </c>
      <c r="B39" s="45">
        <f t="shared" si="10"/>
        <v>202</v>
      </c>
      <c r="C39" s="159">
        <f t="shared" si="9"/>
        <v>71.428571428571431</v>
      </c>
      <c r="D39" s="210">
        <v>15</v>
      </c>
      <c r="E39" s="210">
        <v>21</v>
      </c>
    </row>
    <row r="40" spans="1:12">
      <c r="A40" s="39">
        <v>1</v>
      </c>
      <c r="B40" s="46">
        <v>203</v>
      </c>
      <c r="C40" s="157">
        <f>D40/E40*100</f>
        <v>87.5</v>
      </c>
      <c r="D40" s="208">
        <v>7</v>
      </c>
      <c r="E40" s="208">
        <v>8</v>
      </c>
    </row>
    <row r="41" spans="1:12">
      <c r="A41" s="38">
        <v>2</v>
      </c>
      <c r="B41" s="45">
        <f t="shared" ref="B41:B46" si="11">B40</f>
        <v>203</v>
      </c>
      <c r="C41" s="159">
        <f t="shared" ref="C41:C46" si="12">D41/E41*100</f>
        <v>42.857142857142854</v>
      </c>
      <c r="D41" s="210">
        <v>6</v>
      </c>
      <c r="E41" s="210">
        <v>14</v>
      </c>
    </row>
    <row r="42" spans="1:12">
      <c r="A42" s="38">
        <v>3</v>
      </c>
      <c r="B42" s="45">
        <f t="shared" si="11"/>
        <v>203</v>
      </c>
      <c r="C42" s="159">
        <f t="shared" si="12"/>
        <v>43.75</v>
      </c>
      <c r="D42" s="210">
        <v>7</v>
      </c>
      <c r="E42" s="210">
        <v>16</v>
      </c>
    </row>
    <row r="43" spans="1:12">
      <c r="A43" s="38">
        <v>4</v>
      </c>
      <c r="B43" s="45">
        <f t="shared" si="11"/>
        <v>203</v>
      </c>
      <c r="C43" s="159">
        <f t="shared" si="12"/>
        <v>22.222222222222221</v>
      </c>
      <c r="D43" s="210">
        <v>2</v>
      </c>
      <c r="E43" s="210">
        <v>9</v>
      </c>
    </row>
    <row r="44" spans="1:12">
      <c r="A44" s="38">
        <v>5</v>
      </c>
      <c r="B44" s="45">
        <f t="shared" si="11"/>
        <v>203</v>
      </c>
      <c r="C44" s="159">
        <f t="shared" si="12"/>
        <v>54.54545454545454</v>
      </c>
      <c r="D44" s="210">
        <v>6</v>
      </c>
      <c r="E44" s="210">
        <v>11</v>
      </c>
    </row>
    <row r="45" spans="1:12">
      <c r="A45" s="38">
        <v>6</v>
      </c>
      <c r="B45" s="45">
        <f t="shared" si="11"/>
        <v>203</v>
      </c>
      <c r="C45" s="159">
        <f t="shared" si="12"/>
        <v>100</v>
      </c>
      <c r="D45" s="210">
        <v>8</v>
      </c>
      <c r="E45" s="210">
        <v>8</v>
      </c>
    </row>
    <row r="46" spans="1:12" ht="15.75" thickBot="1">
      <c r="A46" s="38">
        <v>7</v>
      </c>
      <c r="B46" s="45">
        <f t="shared" si="11"/>
        <v>203</v>
      </c>
      <c r="C46" s="159">
        <f t="shared" si="12"/>
        <v>20</v>
      </c>
      <c r="D46" s="210">
        <v>3</v>
      </c>
      <c r="E46" s="210">
        <v>15</v>
      </c>
    </row>
    <row r="47" spans="1:12">
      <c r="A47" s="39">
        <v>1</v>
      </c>
      <c r="B47" s="46">
        <v>301</v>
      </c>
      <c r="C47" s="157">
        <f>D47/E47*100</f>
        <v>84.615384615384613</v>
      </c>
      <c r="D47" s="208">
        <v>11</v>
      </c>
      <c r="E47" s="208">
        <v>13</v>
      </c>
    </row>
    <row r="48" spans="1:12">
      <c r="A48" s="38">
        <v>2</v>
      </c>
      <c r="B48" s="45">
        <f>B47</f>
        <v>301</v>
      </c>
      <c r="C48" s="159">
        <f t="shared" ref="C48:C53" si="13">D48/E48*100</f>
        <v>50</v>
      </c>
      <c r="D48" s="210">
        <v>6</v>
      </c>
      <c r="E48" s="210">
        <v>12</v>
      </c>
    </row>
    <row r="49" spans="1:5">
      <c r="A49" s="38">
        <v>3</v>
      </c>
      <c r="B49" s="45">
        <f t="shared" ref="B49:B53" si="14">B48</f>
        <v>301</v>
      </c>
      <c r="C49" s="159">
        <f t="shared" si="13"/>
        <v>13.333333333333334</v>
      </c>
      <c r="D49" s="210">
        <v>2</v>
      </c>
      <c r="E49" s="210">
        <v>15</v>
      </c>
    </row>
    <row r="50" spans="1:5">
      <c r="A50" s="38">
        <v>4</v>
      </c>
      <c r="B50" s="45">
        <f t="shared" si="14"/>
        <v>301</v>
      </c>
      <c r="C50" s="159">
        <f t="shared" si="13"/>
        <v>13.333333333333334</v>
      </c>
      <c r="D50" s="210">
        <v>2</v>
      </c>
      <c r="E50" s="210">
        <v>15</v>
      </c>
    </row>
    <row r="51" spans="1:5">
      <c r="A51" s="38">
        <v>5</v>
      </c>
      <c r="B51" s="45">
        <f t="shared" si="14"/>
        <v>301</v>
      </c>
      <c r="C51" s="159">
        <f t="shared" si="13"/>
        <v>40</v>
      </c>
      <c r="D51" s="210">
        <v>4</v>
      </c>
      <c r="E51" s="210">
        <v>10</v>
      </c>
    </row>
    <row r="52" spans="1:5">
      <c r="A52" s="38">
        <v>6</v>
      </c>
      <c r="B52" s="45">
        <f t="shared" si="14"/>
        <v>301</v>
      </c>
      <c r="C52" s="159">
        <f t="shared" si="13"/>
        <v>100</v>
      </c>
      <c r="D52" s="210">
        <v>14</v>
      </c>
      <c r="E52" s="210">
        <v>14</v>
      </c>
    </row>
    <row r="53" spans="1:5" ht="15.75" thickBot="1">
      <c r="A53" s="38">
        <v>7</v>
      </c>
      <c r="B53" s="45">
        <f t="shared" si="14"/>
        <v>301</v>
      </c>
      <c r="C53" s="159">
        <f t="shared" si="13"/>
        <v>23.076923076923077</v>
      </c>
      <c r="D53" s="210">
        <v>3</v>
      </c>
      <c r="E53" s="210">
        <v>13</v>
      </c>
    </row>
    <row r="54" spans="1:5">
      <c r="A54" s="39">
        <v>1</v>
      </c>
      <c r="B54" s="46">
        <v>302</v>
      </c>
      <c r="C54" s="157">
        <f>D54/E54*100</f>
        <v>69.230769230769226</v>
      </c>
      <c r="D54" s="208">
        <v>9</v>
      </c>
      <c r="E54" s="208">
        <v>13</v>
      </c>
    </row>
    <row r="55" spans="1:5">
      <c r="A55" s="38">
        <v>2</v>
      </c>
      <c r="B55" s="45">
        <f>B54</f>
        <v>302</v>
      </c>
      <c r="C55" s="159">
        <f t="shared" ref="C55:C60" si="15">D55/E55*100</f>
        <v>50</v>
      </c>
      <c r="D55" s="210">
        <v>7</v>
      </c>
      <c r="E55" s="210">
        <v>14</v>
      </c>
    </row>
    <row r="56" spans="1:5">
      <c r="A56" s="38">
        <v>3</v>
      </c>
      <c r="B56" s="45">
        <f t="shared" ref="B56:B60" si="16">B55</f>
        <v>302</v>
      </c>
      <c r="C56" s="159">
        <f t="shared" si="15"/>
        <v>26.666666666666668</v>
      </c>
      <c r="D56" s="210">
        <v>4</v>
      </c>
      <c r="E56" s="210">
        <v>15</v>
      </c>
    </row>
    <row r="57" spans="1:5">
      <c r="A57" s="38">
        <v>4</v>
      </c>
      <c r="B57" s="45">
        <f t="shared" si="16"/>
        <v>302</v>
      </c>
      <c r="C57" s="159">
        <f t="shared" si="15"/>
        <v>35.714285714285715</v>
      </c>
      <c r="D57" s="210">
        <v>5</v>
      </c>
      <c r="E57" s="210">
        <v>14</v>
      </c>
    </row>
    <row r="58" spans="1:5">
      <c r="A58" s="38">
        <v>5</v>
      </c>
      <c r="B58" s="45">
        <f t="shared" si="16"/>
        <v>302</v>
      </c>
      <c r="C58" s="159">
        <f t="shared" si="15"/>
        <v>63.636363636363633</v>
      </c>
      <c r="D58" s="210">
        <v>7</v>
      </c>
      <c r="E58" s="210">
        <v>11</v>
      </c>
    </row>
    <row r="59" spans="1:5">
      <c r="A59" s="38">
        <v>6</v>
      </c>
      <c r="B59" s="45">
        <f t="shared" si="16"/>
        <v>302</v>
      </c>
      <c r="C59" s="159">
        <f t="shared" si="15"/>
        <v>50</v>
      </c>
      <c r="D59" s="210">
        <v>5</v>
      </c>
      <c r="E59" s="210">
        <v>10</v>
      </c>
    </row>
    <row r="60" spans="1:5" ht="15.75" thickBot="1">
      <c r="A60" s="38">
        <v>7</v>
      </c>
      <c r="B60" s="45">
        <f t="shared" si="16"/>
        <v>302</v>
      </c>
      <c r="C60" s="159">
        <f t="shared" si="15"/>
        <v>0</v>
      </c>
      <c r="D60" s="210">
        <v>0</v>
      </c>
      <c r="E60" s="210">
        <v>7</v>
      </c>
    </row>
    <row r="61" spans="1:5">
      <c r="A61" s="39">
        <v>1</v>
      </c>
      <c r="B61" s="46">
        <v>303</v>
      </c>
      <c r="C61" s="157">
        <f>D61/E61*100</f>
        <v>38.888888888888893</v>
      </c>
      <c r="D61" s="208">
        <v>7</v>
      </c>
      <c r="E61" s="208">
        <v>18</v>
      </c>
    </row>
    <row r="62" spans="1:5">
      <c r="A62" s="38">
        <v>2</v>
      </c>
      <c r="B62" s="45">
        <f t="shared" ref="B62:B67" si="17">B61</f>
        <v>303</v>
      </c>
      <c r="C62" s="159">
        <f t="shared" ref="C62:C67" si="18">D62/E62*100</f>
        <v>61.53846153846154</v>
      </c>
      <c r="D62" s="210">
        <v>8</v>
      </c>
      <c r="E62" s="210">
        <v>13</v>
      </c>
    </row>
    <row r="63" spans="1:5">
      <c r="A63" s="38">
        <v>3</v>
      </c>
      <c r="B63" s="45">
        <f t="shared" si="17"/>
        <v>303</v>
      </c>
      <c r="C63" s="159">
        <f t="shared" si="18"/>
        <v>25</v>
      </c>
      <c r="D63" s="210">
        <v>3</v>
      </c>
      <c r="E63" s="210">
        <v>12</v>
      </c>
    </row>
    <row r="64" spans="1:5">
      <c r="A64" s="38">
        <v>4</v>
      </c>
      <c r="B64" s="45">
        <f t="shared" si="17"/>
        <v>303</v>
      </c>
      <c r="C64" s="159">
        <f t="shared" si="18"/>
        <v>70</v>
      </c>
      <c r="D64" s="210">
        <v>7</v>
      </c>
      <c r="E64" s="210">
        <v>10</v>
      </c>
    </row>
    <row r="65" spans="1:5">
      <c r="A65" s="38">
        <v>5</v>
      </c>
      <c r="B65" s="45">
        <f t="shared" si="17"/>
        <v>303</v>
      </c>
      <c r="C65" s="159">
        <f t="shared" si="18"/>
        <v>69.230769230769226</v>
      </c>
      <c r="D65" s="210">
        <v>9</v>
      </c>
      <c r="E65" s="210">
        <v>13</v>
      </c>
    </row>
    <row r="66" spans="1:5">
      <c r="A66" s="38">
        <v>6</v>
      </c>
      <c r="B66" s="45">
        <f t="shared" si="17"/>
        <v>303</v>
      </c>
      <c r="C66" s="159">
        <f t="shared" si="18"/>
        <v>36.84210526315789</v>
      </c>
      <c r="D66" s="210">
        <v>7</v>
      </c>
      <c r="E66" s="210">
        <v>19</v>
      </c>
    </row>
    <row r="67" spans="1:5" ht="15.75" thickBot="1">
      <c r="A67" s="38">
        <v>7</v>
      </c>
      <c r="B67" s="45">
        <f t="shared" si="17"/>
        <v>303</v>
      </c>
      <c r="C67" s="159">
        <f t="shared" si="18"/>
        <v>64.285714285714292</v>
      </c>
      <c r="D67" s="210">
        <v>9</v>
      </c>
      <c r="E67" s="210">
        <v>14</v>
      </c>
    </row>
    <row r="68" spans="1:5">
      <c r="A68" s="39">
        <v>1</v>
      </c>
      <c r="B68" s="46">
        <v>401</v>
      </c>
      <c r="C68" s="157">
        <f>D68/E68*100</f>
        <v>0</v>
      </c>
      <c r="D68" s="208">
        <v>0</v>
      </c>
      <c r="E68" s="208">
        <v>10</v>
      </c>
    </row>
    <row r="69" spans="1:5">
      <c r="A69" s="38">
        <v>2</v>
      </c>
      <c r="B69" s="45">
        <f>B68</f>
        <v>401</v>
      </c>
      <c r="C69" s="159">
        <f t="shared" ref="C69:C74" si="19">D69/E69*100</f>
        <v>60</v>
      </c>
      <c r="D69" s="210">
        <v>9</v>
      </c>
      <c r="E69" s="210">
        <v>15</v>
      </c>
    </row>
    <row r="70" spans="1:5">
      <c r="A70" s="38">
        <v>3</v>
      </c>
      <c r="B70" s="45">
        <f t="shared" ref="B70:B74" si="20">B69</f>
        <v>401</v>
      </c>
      <c r="C70" s="159">
        <f t="shared" si="19"/>
        <v>14.285714285714285</v>
      </c>
      <c r="D70" s="210">
        <v>1</v>
      </c>
      <c r="E70" s="210">
        <v>7</v>
      </c>
    </row>
    <row r="71" spans="1:5">
      <c r="A71" s="38">
        <v>4</v>
      </c>
      <c r="B71" s="45">
        <f t="shared" si="20"/>
        <v>401</v>
      </c>
      <c r="C71" s="159">
        <f t="shared" si="19"/>
        <v>40</v>
      </c>
      <c r="D71" s="210">
        <v>6</v>
      </c>
      <c r="E71" s="210">
        <v>15</v>
      </c>
    </row>
    <row r="72" spans="1:5">
      <c r="A72" s="38">
        <v>5</v>
      </c>
      <c r="B72" s="45">
        <f t="shared" si="20"/>
        <v>401</v>
      </c>
      <c r="C72" s="159">
        <f t="shared" si="19"/>
        <v>57.142857142857139</v>
      </c>
      <c r="D72" s="210">
        <v>8</v>
      </c>
      <c r="E72" s="210">
        <v>14</v>
      </c>
    </row>
    <row r="73" spans="1:5">
      <c r="A73" s="38">
        <v>6</v>
      </c>
      <c r="B73" s="45">
        <f t="shared" si="20"/>
        <v>401</v>
      </c>
      <c r="C73" s="159">
        <f t="shared" si="19"/>
        <v>76.470588235294116</v>
      </c>
      <c r="D73" s="210">
        <v>13</v>
      </c>
      <c r="E73" s="210">
        <v>17</v>
      </c>
    </row>
    <row r="74" spans="1:5" ht="15.75" thickBot="1">
      <c r="A74" s="38">
        <v>7</v>
      </c>
      <c r="B74" s="45">
        <f t="shared" si="20"/>
        <v>401</v>
      </c>
      <c r="C74" s="159">
        <f t="shared" si="19"/>
        <v>93.333333333333329</v>
      </c>
      <c r="D74" s="210">
        <v>14</v>
      </c>
      <c r="E74" s="210">
        <v>15</v>
      </c>
    </row>
    <row r="75" spans="1:5">
      <c r="A75" s="39">
        <v>1</v>
      </c>
      <c r="B75" s="46">
        <v>402</v>
      </c>
      <c r="C75" s="157">
        <f>D75/E75*100</f>
        <v>55.555555555555557</v>
      </c>
      <c r="D75" s="208">
        <v>10</v>
      </c>
      <c r="E75" s="208">
        <v>18</v>
      </c>
    </row>
    <row r="76" spans="1:5">
      <c r="A76" s="38">
        <v>2</v>
      </c>
      <c r="B76" s="45">
        <f>B75</f>
        <v>402</v>
      </c>
      <c r="C76" s="159">
        <f t="shared" ref="C76:C81" si="21">D76/E76*100</f>
        <v>60</v>
      </c>
      <c r="D76" s="210">
        <v>6</v>
      </c>
      <c r="E76" s="210">
        <v>10</v>
      </c>
    </row>
    <row r="77" spans="1:5">
      <c r="A77" s="38">
        <v>3</v>
      </c>
      <c r="B77" s="45">
        <f t="shared" ref="B77:B81" si="22">B76</f>
        <v>402</v>
      </c>
      <c r="C77" s="159">
        <f t="shared" si="21"/>
        <v>78.94736842105263</v>
      </c>
      <c r="D77" s="210">
        <v>15</v>
      </c>
      <c r="E77" s="210">
        <v>19</v>
      </c>
    </row>
    <row r="78" spans="1:5">
      <c r="A78" s="38">
        <v>4</v>
      </c>
      <c r="B78" s="45">
        <f t="shared" si="22"/>
        <v>402</v>
      </c>
      <c r="C78" s="159">
        <f t="shared" si="21"/>
        <v>62.5</v>
      </c>
      <c r="D78" s="210">
        <v>5</v>
      </c>
      <c r="E78" s="210">
        <v>8</v>
      </c>
    </row>
    <row r="79" spans="1:5">
      <c r="A79" s="38">
        <v>5</v>
      </c>
      <c r="B79" s="45">
        <f t="shared" si="22"/>
        <v>402</v>
      </c>
      <c r="C79" s="159">
        <f t="shared" si="21"/>
        <v>70</v>
      </c>
      <c r="D79" s="210">
        <v>7</v>
      </c>
      <c r="E79" s="210">
        <v>10</v>
      </c>
    </row>
    <row r="80" spans="1:5">
      <c r="A80" s="38">
        <v>6</v>
      </c>
      <c r="B80" s="45">
        <f t="shared" si="22"/>
        <v>402</v>
      </c>
      <c r="C80" s="159">
        <f t="shared" si="21"/>
        <v>38.461538461538467</v>
      </c>
      <c r="D80" s="210">
        <v>5</v>
      </c>
      <c r="E80" s="210">
        <v>13</v>
      </c>
    </row>
    <row r="81" spans="1:5" ht="15.75" thickBot="1">
      <c r="A81" s="38">
        <v>7</v>
      </c>
      <c r="B81" s="45">
        <f t="shared" si="22"/>
        <v>402</v>
      </c>
      <c r="C81" s="159">
        <f t="shared" si="21"/>
        <v>62.5</v>
      </c>
      <c r="D81" s="210">
        <v>10</v>
      </c>
      <c r="E81" s="210">
        <v>16</v>
      </c>
    </row>
    <row r="82" spans="1:5">
      <c r="A82" s="39">
        <v>1</v>
      </c>
      <c r="B82" s="233">
        <v>403</v>
      </c>
      <c r="C82" s="343">
        <f>D82/E82*100</f>
        <v>73.68421052631578</v>
      </c>
      <c r="D82" s="214">
        <v>14</v>
      </c>
      <c r="E82" s="215">
        <v>19</v>
      </c>
    </row>
    <row r="83" spans="1:5">
      <c r="A83" s="38">
        <v>2</v>
      </c>
      <c r="B83" s="234">
        <f t="shared" ref="B83:B88" si="23">B82</f>
        <v>403</v>
      </c>
      <c r="C83" s="344">
        <f t="shared" ref="C83:C88" si="24">D83/E83*100</f>
        <v>0</v>
      </c>
      <c r="D83" s="216">
        <v>0</v>
      </c>
      <c r="E83" s="217">
        <v>12</v>
      </c>
    </row>
    <row r="84" spans="1:5">
      <c r="A84" s="38">
        <v>3</v>
      </c>
      <c r="B84" s="234">
        <f t="shared" si="23"/>
        <v>403</v>
      </c>
      <c r="C84" s="344">
        <f t="shared" si="24"/>
        <v>29.411764705882355</v>
      </c>
      <c r="D84" s="216">
        <v>5</v>
      </c>
      <c r="E84" s="217">
        <v>17</v>
      </c>
    </row>
    <row r="85" spans="1:5">
      <c r="A85" s="38">
        <v>4</v>
      </c>
      <c r="B85" s="234">
        <f t="shared" si="23"/>
        <v>403</v>
      </c>
      <c r="C85" s="344">
        <f t="shared" si="24"/>
        <v>57.142857142857139</v>
      </c>
      <c r="D85" s="216">
        <v>4</v>
      </c>
      <c r="E85" s="217">
        <v>7</v>
      </c>
    </row>
    <row r="86" spans="1:5">
      <c r="A86" s="38">
        <v>5</v>
      </c>
      <c r="B86" s="234">
        <f t="shared" si="23"/>
        <v>403</v>
      </c>
      <c r="C86" s="344">
        <f t="shared" si="24"/>
        <v>28.571428571428569</v>
      </c>
      <c r="D86" s="216">
        <v>4</v>
      </c>
      <c r="E86" s="217">
        <v>14</v>
      </c>
    </row>
    <row r="87" spans="1:5">
      <c r="A87" s="38">
        <v>6</v>
      </c>
      <c r="B87" s="234">
        <f t="shared" si="23"/>
        <v>403</v>
      </c>
      <c r="C87" s="344">
        <f t="shared" si="24"/>
        <v>90.909090909090907</v>
      </c>
      <c r="D87" s="216">
        <v>10</v>
      </c>
      <c r="E87" s="217">
        <v>11</v>
      </c>
    </row>
    <row r="88" spans="1:5" ht="15.75" thickBot="1">
      <c r="A88" s="38">
        <v>7</v>
      </c>
      <c r="B88" s="269">
        <f t="shared" si="23"/>
        <v>403</v>
      </c>
      <c r="C88" s="345">
        <f t="shared" si="24"/>
        <v>20</v>
      </c>
      <c r="D88" s="218">
        <v>1</v>
      </c>
      <c r="E88" s="219">
        <v>5</v>
      </c>
    </row>
    <row r="89" spans="1:5">
      <c r="D89" s="40"/>
      <c r="E89" s="40"/>
    </row>
    <row r="90" spans="1:5">
      <c r="D90" s="40"/>
      <c r="E90" s="40"/>
    </row>
    <row r="91" spans="1:5">
      <c r="D91" s="40"/>
      <c r="E91" s="40"/>
    </row>
    <row r="92" spans="1:5">
      <c r="D92" s="40"/>
      <c r="E92" s="40"/>
    </row>
    <row r="93" spans="1:5">
      <c r="D93" s="40"/>
      <c r="E93" s="40"/>
    </row>
    <row r="94" spans="1:5">
      <c r="D94" s="40"/>
      <c r="E94" s="40"/>
    </row>
    <row r="95" spans="1:5">
      <c r="D95" s="40"/>
      <c r="E95" s="40"/>
    </row>
    <row r="96" spans="1:5">
      <c r="D96" s="40"/>
      <c r="E96" s="40"/>
    </row>
    <row r="97" s="40" customFormat="1"/>
    <row r="98" s="40" customFormat="1"/>
    <row r="99" s="40" customFormat="1"/>
    <row r="100" s="40" customFormat="1"/>
    <row r="101" s="40" customFormat="1"/>
    <row r="102" s="40" customFormat="1"/>
    <row r="103" s="40" customFormat="1"/>
    <row r="104" s="40" customFormat="1"/>
    <row r="105" s="40" customFormat="1"/>
    <row r="106" s="40" customFormat="1"/>
    <row r="107" s="40" customFormat="1"/>
    <row r="108" s="40" customFormat="1"/>
  </sheetData>
  <mergeCells count="7">
    <mergeCell ref="A2:D2"/>
    <mergeCell ref="G2:H2"/>
    <mergeCell ref="K2:L2"/>
    <mergeCell ref="N2:O2"/>
    <mergeCell ref="G9:G12"/>
    <mergeCell ref="G13:G16"/>
    <mergeCell ref="G5:G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8826-B023-4E52-A0BF-6DD23A7E4769}">
  <sheetPr codeName="Hoja8">
    <tabColor rgb="FF92D050"/>
  </sheetPr>
  <dimension ref="A1:Y40"/>
  <sheetViews>
    <sheetView topLeftCell="G1" zoomScaleNormal="100" workbookViewId="0">
      <selection activeCell="P5" sqref="P5"/>
    </sheetView>
  </sheetViews>
  <sheetFormatPr defaultColWidth="11.5703125" defaultRowHeight="15"/>
  <cols>
    <col min="1" max="1" width="3.28515625" style="40" bestFit="1" customWidth="1"/>
    <col min="2" max="2" width="5.28515625" style="40" customWidth="1"/>
    <col min="3" max="3" width="13.28515625" style="40" customWidth="1"/>
    <col min="4" max="5" width="9.28515625" style="40" customWidth="1"/>
    <col min="6" max="10" width="11.5703125" style="40"/>
    <col min="11" max="11" width="14.85546875" style="40" customWidth="1"/>
    <col min="12" max="12" width="23.28515625" style="40" customWidth="1"/>
    <col min="13" max="13" width="12" style="40" bestFit="1" customWidth="1"/>
    <col min="14" max="14" width="14.85546875" style="40" customWidth="1"/>
    <col min="15" max="15" width="8.85546875" style="40" bestFit="1" customWidth="1"/>
    <col min="16" max="16" width="13.28515625" style="40" bestFit="1" customWidth="1"/>
    <col min="17" max="17" width="12" style="40" bestFit="1" customWidth="1"/>
    <col min="18" max="19" width="11.5703125" style="40"/>
    <col min="20" max="21" width="15.140625" style="40" customWidth="1"/>
    <col min="22" max="22" width="11.5703125" style="40"/>
    <col min="23" max="23" width="11.28515625" style="40" bestFit="1" customWidth="1"/>
    <col min="24" max="16384" width="11.5703125" style="40"/>
  </cols>
  <sheetData>
    <row r="1" spans="1:25">
      <c r="C1" s="83"/>
      <c r="D1" s="84"/>
    </row>
    <row r="2" spans="1:25" ht="19.5" thickBot="1">
      <c r="A2" s="382" t="s">
        <v>157</v>
      </c>
      <c r="B2" s="382"/>
      <c r="C2" s="382"/>
      <c r="D2" s="83"/>
      <c r="F2" s="383" t="s">
        <v>133</v>
      </c>
      <c r="G2" s="383"/>
      <c r="K2" s="384" t="s">
        <v>134</v>
      </c>
      <c r="L2" s="384"/>
      <c r="N2" s="44"/>
      <c r="O2" s="388" t="s">
        <v>158</v>
      </c>
      <c r="P2" s="388"/>
      <c r="Q2" s="388"/>
    </row>
    <row r="3" spans="1:25" ht="15.75" thickBot="1">
      <c r="C3" s="396" t="s">
        <v>159</v>
      </c>
      <c r="D3" s="396"/>
      <c r="H3" s="62"/>
      <c r="I3" s="62"/>
      <c r="L3" s="305" t="s">
        <v>160</v>
      </c>
      <c r="M3" s="334" t="s">
        <v>161</v>
      </c>
      <c r="P3" s="305" t="s">
        <v>160</v>
      </c>
      <c r="Q3" s="346" t="s">
        <v>161</v>
      </c>
    </row>
    <row r="4" spans="1:25" ht="26.25" thickBot="1">
      <c r="A4" s="37"/>
      <c r="B4" s="45"/>
      <c r="C4" s="82" t="s">
        <v>160</v>
      </c>
      <c r="D4" s="82" t="s">
        <v>161</v>
      </c>
      <c r="F4" s="37"/>
      <c r="G4" s="37"/>
      <c r="H4" s="82" t="s">
        <v>160</v>
      </c>
      <c r="I4" s="82" t="s">
        <v>161</v>
      </c>
      <c r="K4" s="311" t="s">
        <v>142</v>
      </c>
      <c r="L4" s="202">
        <f>AVERAGE(H5:H8)</f>
        <v>146.33333333333334</v>
      </c>
      <c r="M4" s="204">
        <f>AVERAGE(I5:I8)</f>
        <v>90</v>
      </c>
      <c r="O4" s="201" t="s">
        <v>142</v>
      </c>
      <c r="P4" s="296">
        <f t="shared" ref="P4:Q6" si="0">L4*100/L$4-100</f>
        <v>0</v>
      </c>
      <c r="Q4" s="297">
        <f t="shared" si="0"/>
        <v>0</v>
      </c>
    </row>
    <row r="5" spans="1:25" ht="30">
      <c r="A5" s="39">
        <v>1</v>
      </c>
      <c r="B5" s="46">
        <v>101</v>
      </c>
      <c r="C5" s="70">
        <v>126</v>
      </c>
      <c r="D5" s="70">
        <v>77</v>
      </c>
      <c r="F5" s="393" t="s">
        <v>38</v>
      </c>
      <c r="G5" s="323">
        <v>101</v>
      </c>
      <c r="H5" s="93">
        <f t="shared" ref="H5:H16" si="1">AVERAGEIF(B:B,G5,C:C)</f>
        <v>112.66666666666667</v>
      </c>
      <c r="I5" s="94">
        <f t="shared" ref="I5:I16" si="2">AVERAGEIF(B:B,G5,D:D)</f>
        <v>82.666666666666671</v>
      </c>
      <c r="K5" s="98" t="s">
        <v>43</v>
      </c>
      <c r="L5" s="49">
        <f>AVERAGE(H9:H12)</f>
        <v>155.08333333333334</v>
      </c>
      <c r="M5" s="52">
        <f>AVERAGE(I9:I12)</f>
        <v>86.083333333333329</v>
      </c>
      <c r="O5" s="86" t="s">
        <v>43</v>
      </c>
      <c r="P5" s="189">
        <f t="shared" si="0"/>
        <v>5.9794988610478299</v>
      </c>
      <c r="Q5" s="57">
        <f t="shared" si="0"/>
        <v>-4.3518518518518619</v>
      </c>
    </row>
    <row r="6" spans="1:25" ht="15.75" thickBot="1">
      <c r="A6" s="38">
        <v>2</v>
      </c>
      <c r="B6" s="45">
        <f>B5</f>
        <v>101</v>
      </c>
      <c r="C6" s="87">
        <v>106</v>
      </c>
      <c r="D6" s="87">
        <v>79</v>
      </c>
      <c r="F6" s="394"/>
      <c r="G6" s="283">
        <v>201</v>
      </c>
      <c r="H6" s="92">
        <f t="shared" si="1"/>
        <v>146</v>
      </c>
      <c r="I6" s="95">
        <f t="shared" si="2"/>
        <v>105.33333333333333</v>
      </c>
      <c r="K6" s="312" t="s">
        <v>47</v>
      </c>
      <c r="L6" s="50">
        <f>AVERAGE(H13:H16)</f>
        <v>145.83333333333334</v>
      </c>
      <c r="M6" s="53">
        <f>AVERAGE(I13:I16)</f>
        <v>79.833333333333329</v>
      </c>
      <c r="O6" s="205" t="s">
        <v>47</v>
      </c>
      <c r="P6" s="298">
        <f t="shared" si="0"/>
        <v>-0.3416856492027307</v>
      </c>
      <c r="Q6" s="99">
        <f t="shared" si="0"/>
        <v>-11.296296296296305</v>
      </c>
    </row>
    <row r="7" spans="1:25" ht="15.75" thickBot="1">
      <c r="A7" s="38">
        <v>3</v>
      </c>
      <c r="B7" s="45">
        <f t="shared" ref="B7" si="3">B6</f>
        <v>101</v>
      </c>
      <c r="C7" s="87">
        <v>106</v>
      </c>
      <c r="D7" s="87">
        <v>92</v>
      </c>
      <c r="F7" s="394"/>
      <c r="G7" s="283">
        <v>303</v>
      </c>
      <c r="H7" s="92">
        <f t="shared" si="1"/>
        <v>163</v>
      </c>
      <c r="I7" s="95">
        <f t="shared" si="2"/>
        <v>96.333333333333329</v>
      </c>
    </row>
    <row r="8" spans="1:25" ht="15.75" thickBot="1">
      <c r="A8" s="39">
        <v>1</v>
      </c>
      <c r="B8" s="46">
        <v>102</v>
      </c>
      <c r="C8" s="70">
        <v>136</v>
      </c>
      <c r="D8" s="70">
        <v>96</v>
      </c>
      <c r="F8" s="395"/>
      <c r="G8" s="114">
        <v>403</v>
      </c>
      <c r="H8" s="96">
        <f t="shared" si="1"/>
        <v>163.66666666666666</v>
      </c>
      <c r="I8" s="97">
        <f t="shared" si="2"/>
        <v>75.666666666666671</v>
      </c>
      <c r="K8" s="184"/>
      <c r="O8" s="184"/>
      <c r="P8" s="43"/>
      <c r="Q8" s="43"/>
      <c r="R8" s="43"/>
      <c r="T8" s="43"/>
      <c r="W8" s="43"/>
      <c r="X8" s="43"/>
      <c r="Y8" s="43"/>
    </row>
    <row r="9" spans="1:25">
      <c r="A9" s="38">
        <v>2</v>
      </c>
      <c r="B9" s="45">
        <f>B8</f>
        <v>102</v>
      </c>
      <c r="C9" s="87">
        <v>116</v>
      </c>
      <c r="D9" s="87">
        <v>64</v>
      </c>
      <c r="F9" s="393" t="s">
        <v>42</v>
      </c>
      <c r="G9" s="323">
        <v>102</v>
      </c>
      <c r="H9" s="93">
        <f t="shared" si="1"/>
        <v>120</v>
      </c>
      <c r="I9" s="94">
        <f t="shared" si="2"/>
        <v>88</v>
      </c>
      <c r="K9" s="184"/>
      <c r="O9" s="184"/>
      <c r="P9" s="43"/>
      <c r="Q9" s="43"/>
      <c r="R9" s="43"/>
      <c r="T9" s="43"/>
      <c r="W9" s="43"/>
      <c r="X9" s="43"/>
      <c r="Y9" s="43"/>
    </row>
    <row r="10" spans="1:25" ht="15.75" thickBot="1">
      <c r="A10" s="38">
        <v>3</v>
      </c>
      <c r="B10" s="45">
        <f t="shared" ref="B10" si="4">B9</f>
        <v>102</v>
      </c>
      <c r="C10" s="87">
        <v>108</v>
      </c>
      <c r="D10" s="87">
        <v>104</v>
      </c>
      <c r="F10" s="394"/>
      <c r="G10" s="283">
        <v>202</v>
      </c>
      <c r="H10" s="92">
        <f t="shared" si="1"/>
        <v>167.66666666666666</v>
      </c>
      <c r="I10" s="95">
        <f t="shared" si="2"/>
        <v>93.333333333333329</v>
      </c>
      <c r="K10" s="184"/>
      <c r="O10" s="184"/>
      <c r="P10" s="43"/>
      <c r="Q10" s="43"/>
      <c r="R10" s="43"/>
      <c r="T10" s="43"/>
      <c r="W10" s="43"/>
      <c r="X10" s="43"/>
      <c r="Y10" s="43"/>
    </row>
    <row r="11" spans="1:25">
      <c r="A11" s="39">
        <v>1</v>
      </c>
      <c r="B11" s="46">
        <v>103</v>
      </c>
      <c r="C11" s="70">
        <v>152</v>
      </c>
      <c r="D11" s="70">
        <v>96</v>
      </c>
      <c r="F11" s="394"/>
      <c r="G11" s="283">
        <v>302</v>
      </c>
      <c r="H11" s="92">
        <f t="shared" si="1"/>
        <v>147.33333333333334</v>
      </c>
      <c r="I11" s="95">
        <f t="shared" si="2"/>
        <v>73.666666666666671</v>
      </c>
    </row>
    <row r="12" spans="1:25" ht="15.75" thickBot="1">
      <c r="A12" s="38">
        <v>2</v>
      </c>
      <c r="B12" s="45">
        <f>B11</f>
        <v>103</v>
      </c>
      <c r="C12" s="87">
        <v>129</v>
      </c>
      <c r="D12" s="87">
        <v>76</v>
      </c>
      <c r="F12" s="395"/>
      <c r="G12" s="114">
        <v>402</v>
      </c>
      <c r="H12" s="96">
        <f t="shared" si="1"/>
        <v>185.33333333333334</v>
      </c>
      <c r="I12" s="97">
        <f t="shared" si="2"/>
        <v>89.333333333333329</v>
      </c>
    </row>
    <row r="13" spans="1:25" ht="15.75" thickBot="1">
      <c r="A13" s="38">
        <v>3</v>
      </c>
      <c r="B13" s="45">
        <f t="shared" ref="B13" si="5">B12</f>
        <v>103</v>
      </c>
      <c r="C13" s="87">
        <v>144</v>
      </c>
      <c r="D13" s="87">
        <v>75</v>
      </c>
      <c r="F13" s="393" t="s">
        <v>46</v>
      </c>
      <c r="G13" s="323">
        <v>103</v>
      </c>
      <c r="H13" s="93">
        <f t="shared" si="1"/>
        <v>141.66666666666666</v>
      </c>
      <c r="I13" s="94">
        <f t="shared" si="2"/>
        <v>82.333333333333329</v>
      </c>
    </row>
    <row r="14" spans="1:25">
      <c r="A14" s="39">
        <v>1</v>
      </c>
      <c r="B14" s="46">
        <v>201</v>
      </c>
      <c r="C14" s="70">
        <v>167</v>
      </c>
      <c r="D14" s="70">
        <v>94</v>
      </c>
      <c r="F14" s="394"/>
      <c r="G14" s="283">
        <v>203</v>
      </c>
      <c r="H14" s="92">
        <f t="shared" si="1"/>
        <v>130.33333333333334</v>
      </c>
      <c r="I14" s="95">
        <f t="shared" si="2"/>
        <v>66.666666666666671</v>
      </c>
    </row>
    <row r="15" spans="1:25">
      <c r="A15" s="38">
        <v>2</v>
      </c>
      <c r="B15" s="45">
        <f>B14</f>
        <v>201</v>
      </c>
      <c r="C15" s="87">
        <v>129</v>
      </c>
      <c r="D15" s="87">
        <v>134</v>
      </c>
      <c r="F15" s="394"/>
      <c r="G15" s="283">
        <v>301</v>
      </c>
      <c r="H15" s="92">
        <f t="shared" si="1"/>
        <v>148.33333333333334</v>
      </c>
      <c r="I15" s="95">
        <f t="shared" si="2"/>
        <v>83</v>
      </c>
    </row>
    <row r="16" spans="1:25" ht="15.75" thickBot="1">
      <c r="A16" s="38">
        <v>3</v>
      </c>
      <c r="B16" s="45">
        <f t="shared" ref="B16" si="6">B15</f>
        <v>201</v>
      </c>
      <c r="C16" s="87">
        <v>142</v>
      </c>
      <c r="D16" s="87">
        <v>88</v>
      </c>
      <c r="F16" s="395"/>
      <c r="G16" s="114">
        <v>401</v>
      </c>
      <c r="H16" s="96">
        <f t="shared" si="1"/>
        <v>163</v>
      </c>
      <c r="I16" s="97">
        <f t="shared" si="2"/>
        <v>87.333333333333329</v>
      </c>
    </row>
    <row r="17" spans="1:9">
      <c r="A17" s="39">
        <v>1</v>
      </c>
      <c r="B17" s="46">
        <v>202</v>
      </c>
      <c r="C17" s="70">
        <v>166</v>
      </c>
      <c r="D17" s="70">
        <v>84</v>
      </c>
      <c r="F17" s="180"/>
      <c r="G17" s="37"/>
      <c r="H17" s="158"/>
      <c r="I17" s="158"/>
    </row>
    <row r="18" spans="1:9">
      <c r="A18" s="38">
        <v>2</v>
      </c>
      <c r="B18" s="45">
        <f>B17</f>
        <v>202</v>
      </c>
      <c r="C18" s="87">
        <v>157</v>
      </c>
      <c r="D18" s="87">
        <v>99</v>
      </c>
      <c r="F18" s="180"/>
      <c r="G18" s="37"/>
      <c r="H18" s="158"/>
      <c r="I18" s="158"/>
    </row>
    <row r="19" spans="1:9" ht="15.75" thickBot="1">
      <c r="A19" s="38">
        <v>3</v>
      </c>
      <c r="B19" s="45">
        <f t="shared" ref="B19" si="7">B18</f>
        <v>202</v>
      </c>
      <c r="C19" s="87">
        <v>180</v>
      </c>
      <c r="D19" s="87">
        <v>97</v>
      </c>
      <c r="F19" s="180"/>
      <c r="G19" s="37"/>
      <c r="H19" s="158"/>
      <c r="I19" s="158"/>
    </row>
    <row r="20" spans="1:9">
      <c r="A20" s="39">
        <v>1</v>
      </c>
      <c r="B20" s="46">
        <v>203</v>
      </c>
      <c r="C20" s="70">
        <v>127</v>
      </c>
      <c r="D20" s="70">
        <v>71</v>
      </c>
      <c r="F20" s="180"/>
      <c r="G20" s="37"/>
      <c r="H20" s="158"/>
      <c r="I20" s="158"/>
    </row>
    <row r="21" spans="1:9">
      <c r="A21" s="38">
        <v>2</v>
      </c>
      <c r="B21" s="45">
        <f t="shared" ref="B21:B22" si="8">B20</f>
        <v>203</v>
      </c>
      <c r="C21" s="87">
        <v>139</v>
      </c>
      <c r="D21" s="87">
        <v>56</v>
      </c>
      <c r="F21" s="180"/>
      <c r="G21" s="37"/>
      <c r="H21" s="158"/>
      <c r="I21" s="158"/>
    </row>
    <row r="22" spans="1:9" ht="15.75" thickBot="1">
      <c r="A22" s="38">
        <v>3</v>
      </c>
      <c r="B22" s="45">
        <f t="shared" si="8"/>
        <v>203</v>
      </c>
      <c r="C22" s="87">
        <v>125</v>
      </c>
      <c r="D22" s="87">
        <v>73</v>
      </c>
      <c r="F22" s="180"/>
      <c r="G22" s="37"/>
      <c r="H22" s="158"/>
      <c r="I22" s="158"/>
    </row>
    <row r="23" spans="1:9">
      <c r="A23" s="39">
        <v>1</v>
      </c>
      <c r="B23" s="46">
        <v>301</v>
      </c>
      <c r="C23" s="70">
        <v>132</v>
      </c>
      <c r="D23" s="70">
        <v>70</v>
      </c>
      <c r="F23" s="180"/>
      <c r="G23" s="37"/>
      <c r="H23" s="158"/>
      <c r="I23" s="158"/>
    </row>
    <row r="24" spans="1:9">
      <c r="A24" s="38">
        <v>2</v>
      </c>
      <c r="B24" s="45">
        <f>B23</f>
        <v>301</v>
      </c>
      <c r="C24" s="87">
        <v>135</v>
      </c>
      <c r="D24" s="87">
        <v>93</v>
      </c>
      <c r="F24" s="180"/>
      <c r="G24" s="37"/>
      <c r="H24" s="158"/>
      <c r="I24" s="158"/>
    </row>
    <row r="25" spans="1:9" ht="15.75" thickBot="1">
      <c r="A25" s="38">
        <v>3</v>
      </c>
      <c r="B25" s="45">
        <f t="shared" ref="B25" si="9">B24</f>
        <v>301</v>
      </c>
      <c r="C25" s="87">
        <v>178</v>
      </c>
      <c r="D25" s="87">
        <v>86</v>
      </c>
    </row>
    <row r="26" spans="1:9">
      <c r="A26" s="39">
        <v>1</v>
      </c>
      <c r="B26" s="46">
        <v>302</v>
      </c>
      <c r="C26" s="70">
        <v>171</v>
      </c>
      <c r="D26" s="70">
        <v>56</v>
      </c>
      <c r="F26" s="180"/>
      <c r="G26" s="37"/>
      <c r="H26" s="158"/>
      <c r="I26" s="158"/>
    </row>
    <row r="27" spans="1:9">
      <c r="A27" s="38">
        <v>2</v>
      </c>
      <c r="B27" s="45">
        <f>B26</f>
        <v>302</v>
      </c>
      <c r="C27" s="87">
        <v>137</v>
      </c>
      <c r="D27" s="87">
        <v>83</v>
      </c>
      <c r="F27" s="180"/>
      <c r="G27" s="37"/>
      <c r="H27" s="158"/>
      <c r="I27" s="158"/>
    </row>
    <row r="28" spans="1:9" ht="15.75" thickBot="1">
      <c r="A28" s="38">
        <v>3</v>
      </c>
      <c r="B28" s="45">
        <f t="shared" ref="B28" si="10">B27</f>
        <v>302</v>
      </c>
      <c r="C28" s="87">
        <v>134</v>
      </c>
      <c r="D28" s="87">
        <v>82</v>
      </c>
      <c r="F28" s="180"/>
      <c r="G28" s="37"/>
      <c r="H28" s="158"/>
      <c r="I28" s="158"/>
    </row>
    <row r="29" spans="1:9">
      <c r="A29" s="39">
        <v>1</v>
      </c>
      <c r="B29" s="46">
        <v>303</v>
      </c>
      <c r="C29" s="70">
        <v>208</v>
      </c>
      <c r="D29" s="70">
        <v>112</v>
      </c>
      <c r="F29" s="180"/>
      <c r="G29" s="37"/>
      <c r="H29" s="158"/>
      <c r="I29" s="158"/>
    </row>
    <row r="30" spans="1:9">
      <c r="A30" s="38">
        <v>2</v>
      </c>
      <c r="B30" s="45">
        <f t="shared" ref="B30:B31" si="11">B29</f>
        <v>303</v>
      </c>
      <c r="C30" s="87">
        <v>144</v>
      </c>
      <c r="D30" s="87">
        <v>88</v>
      </c>
      <c r="F30" s="180"/>
      <c r="G30" s="37"/>
      <c r="H30" s="158"/>
      <c r="I30" s="158"/>
    </row>
    <row r="31" spans="1:9" ht="15.75" thickBot="1">
      <c r="A31" s="38">
        <v>3</v>
      </c>
      <c r="B31" s="45">
        <f t="shared" si="11"/>
        <v>303</v>
      </c>
      <c r="C31" s="87">
        <v>137</v>
      </c>
      <c r="D31" s="87">
        <v>89</v>
      </c>
      <c r="F31" s="180"/>
      <c r="G31" s="37"/>
      <c r="H31" s="158"/>
      <c r="I31" s="158"/>
    </row>
    <row r="32" spans="1:9">
      <c r="A32" s="39">
        <v>1</v>
      </c>
      <c r="B32" s="46">
        <v>401</v>
      </c>
      <c r="C32" s="70">
        <v>134</v>
      </c>
      <c r="D32" s="70">
        <v>89</v>
      </c>
      <c r="F32" s="180"/>
      <c r="G32" s="37"/>
      <c r="H32" s="158"/>
      <c r="I32" s="158"/>
    </row>
    <row r="33" spans="1:4">
      <c r="A33" s="38">
        <v>2</v>
      </c>
      <c r="B33" s="45">
        <f>B32</f>
        <v>401</v>
      </c>
      <c r="C33" s="87">
        <v>184</v>
      </c>
      <c r="D33" s="87">
        <v>95</v>
      </c>
    </row>
    <row r="34" spans="1:4" ht="15.75" thickBot="1">
      <c r="A34" s="38">
        <v>3</v>
      </c>
      <c r="B34" s="45">
        <f t="shared" ref="B34" si="12">B33</f>
        <v>401</v>
      </c>
      <c r="C34" s="87">
        <v>171</v>
      </c>
      <c r="D34" s="87">
        <v>78</v>
      </c>
    </row>
    <row r="35" spans="1:4">
      <c r="A35" s="39">
        <v>1</v>
      </c>
      <c r="B35" s="46">
        <v>402</v>
      </c>
      <c r="C35" s="70">
        <v>199</v>
      </c>
      <c r="D35" s="70">
        <v>83</v>
      </c>
    </row>
    <row r="36" spans="1:4">
      <c r="A36" s="38">
        <v>2</v>
      </c>
      <c r="B36" s="45">
        <f>B35</f>
        <v>402</v>
      </c>
      <c r="C36" s="87">
        <v>192</v>
      </c>
      <c r="D36" s="87">
        <v>97</v>
      </c>
    </row>
    <row r="37" spans="1:4" ht="15.75" thickBot="1">
      <c r="A37" s="38">
        <v>3</v>
      </c>
      <c r="B37" s="45">
        <f t="shared" ref="B37" si="13">B36</f>
        <v>402</v>
      </c>
      <c r="C37" s="87">
        <v>165</v>
      </c>
      <c r="D37" s="87">
        <v>88</v>
      </c>
    </row>
    <row r="38" spans="1:4">
      <c r="A38" s="39">
        <v>1</v>
      </c>
      <c r="B38" s="46">
        <v>403</v>
      </c>
      <c r="C38" s="70">
        <v>146</v>
      </c>
      <c r="D38" s="70">
        <v>63</v>
      </c>
    </row>
    <row r="39" spans="1:4">
      <c r="A39" s="38">
        <v>2</v>
      </c>
      <c r="B39" s="45">
        <f t="shared" ref="B39:B40" si="14">B38</f>
        <v>403</v>
      </c>
      <c r="C39" s="87">
        <v>168</v>
      </c>
      <c r="D39" s="87">
        <v>85</v>
      </c>
    </row>
    <row r="40" spans="1:4" ht="15.75" thickBot="1">
      <c r="A40" s="38">
        <v>3</v>
      </c>
      <c r="B40" s="232">
        <f t="shared" si="14"/>
        <v>403</v>
      </c>
      <c r="C40" s="88">
        <v>177</v>
      </c>
      <c r="D40" s="88">
        <v>79</v>
      </c>
    </row>
  </sheetData>
  <mergeCells count="8">
    <mergeCell ref="F9:F12"/>
    <mergeCell ref="F13:F16"/>
    <mergeCell ref="C3:D3"/>
    <mergeCell ref="O2:Q2"/>
    <mergeCell ref="A2:C2"/>
    <mergeCell ref="F2:G2"/>
    <mergeCell ref="K2:L2"/>
    <mergeCell ref="F5:F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48EB-B0CC-4FCD-9F2C-94BD4A340607}">
  <dimension ref="A1:G111"/>
  <sheetViews>
    <sheetView topLeftCell="A106" workbookViewId="0">
      <selection activeCell="I1" sqref="I1"/>
    </sheetView>
  </sheetViews>
  <sheetFormatPr defaultColWidth="11.42578125" defaultRowHeight="15"/>
  <cols>
    <col min="1" max="1" width="11.42578125" customWidth="1"/>
    <col min="2" max="7" width="11.42578125" style="40" customWidth="1"/>
  </cols>
  <sheetData>
    <row r="1" spans="1:7">
      <c r="A1" s="37"/>
      <c r="B1" s="347" t="s">
        <v>162</v>
      </c>
      <c r="C1" s="348" t="s">
        <v>163</v>
      </c>
      <c r="D1" s="348" t="s">
        <v>164</v>
      </c>
      <c r="E1" s="348" t="s">
        <v>165</v>
      </c>
      <c r="F1" s="348" t="s">
        <v>166</v>
      </c>
      <c r="G1" s="348" t="s">
        <v>167</v>
      </c>
    </row>
    <row r="2" spans="1:7">
      <c r="A2" s="279">
        <v>45369</v>
      </c>
      <c r="B2" s="349">
        <v>8.3800000000000008</v>
      </c>
      <c r="C2" s="349">
        <v>22.88</v>
      </c>
      <c r="D2" s="349">
        <v>15.25</v>
      </c>
      <c r="E2" s="349">
        <v>37.72</v>
      </c>
      <c r="F2" s="349">
        <v>95.7</v>
      </c>
      <c r="G2" s="349">
        <v>71.099999999999994</v>
      </c>
    </row>
    <row r="3" spans="1:7">
      <c r="A3" s="279">
        <v>45370</v>
      </c>
      <c r="B3" s="189">
        <v>11.17</v>
      </c>
      <c r="C3" s="189">
        <v>24.53</v>
      </c>
      <c r="D3" s="189">
        <v>17.11</v>
      </c>
      <c r="E3" s="189">
        <v>29.3</v>
      </c>
      <c r="F3" s="189">
        <v>98.3</v>
      </c>
      <c r="G3" s="189">
        <v>69.05</v>
      </c>
    </row>
    <row r="4" spans="1:7">
      <c r="A4" s="279">
        <v>45371</v>
      </c>
      <c r="B4" s="189">
        <v>10.97</v>
      </c>
      <c r="C4" s="189">
        <v>21.88</v>
      </c>
      <c r="D4" s="189">
        <v>16.420000000000002</v>
      </c>
      <c r="E4" s="189">
        <v>42.59</v>
      </c>
      <c r="F4" s="189">
        <v>95.2</v>
      </c>
      <c r="G4" s="189">
        <v>71.5</v>
      </c>
    </row>
    <row r="5" spans="1:7">
      <c r="A5" s="279">
        <v>45372</v>
      </c>
      <c r="B5" s="189">
        <v>12.24</v>
      </c>
      <c r="C5" s="189">
        <v>20.69</v>
      </c>
      <c r="D5" s="189">
        <v>17.02</v>
      </c>
      <c r="E5" s="189">
        <v>51.47</v>
      </c>
      <c r="F5" s="189">
        <v>100</v>
      </c>
      <c r="G5" s="189">
        <v>80.099999999999994</v>
      </c>
    </row>
    <row r="6" spans="1:7">
      <c r="A6" s="279">
        <v>45373</v>
      </c>
      <c r="B6" s="189">
        <v>13.49</v>
      </c>
      <c r="C6" s="189">
        <v>27.8</v>
      </c>
      <c r="D6" s="189">
        <v>19.079999999999998</v>
      </c>
      <c r="E6" s="189">
        <v>27.69</v>
      </c>
      <c r="F6" s="189">
        <v>94.2</v>
      </c>
      <c r="G6" s="189">
        <v>64.47</v>
      </c>
    </row>
    <row r="7" spans="1:7">
      <c r="A7" s="279">
        <v>45374</v>
      </c>
      <c r="B7" s="189">
        <v>13.62</v>
      </c>
      <c r="C7" s="189">
        <v>27.87</v>
      </c>
      <c r="D7" s="189">
        <v>19.64</v>
      </c>
      <c r="E7" s="189">
        <v>25.49</v>
      </c>
      <c r="F7" s="189">
        <v>91.6</v>
      </c>
      <c r="G7" s="189">
        <v>60.33</v>
      </c>
    </row>
    <row r="8" spans="1:7">
      <c r="A8" s="279">
        <v>45375</v>
      </c>
      <c r="B8" s="189">
        <v>13.97</v>
      </c>
      <c r="C8" s="189">
        <v>25.82</v>
      </c>
      <c r="D8" s="189">
        <v>18.16</v>
      </c>
      <c r="E8" s="189">
        <v>31.91</v>
      </c>
      <c r="F8" s="189">
        <v>100</v>
      </c>
      <c r="G8" s="189">
        <v>67.489999999999995</v>
      </c>
    </row>
    <row r="9" spans="1:7">
      <c r="A9" s="279">
        <v>45376</v>
      </c>
      <c r="B9" s="189">
        <v>13.5</v>
      </c>
      <c r="C9" s="189">
        <v>18.62</v>
      </c>
      <c r="D9" s="189">
        <v>15.61</v>
      </c>
      <c r="E9" s="189">
        <v>64.63</v>
      </c>
      <c r="F9" s="189">
        <v>100</v>
      </c>
      <c r="G9" s="189">
        <v>90.3</v>
      </c>
    </row>
    <row r="10" spans="1:7">
      <c r="A10" s="279">
        <v>45377</v>
      </c>
      <c r="B10" s="189">
        <v>9.83</v>
      </c>
      <c r="C10" s="189">
        <v>17.29</v>
      </c>
      <c r="D10" s="189">
        <v>13.48</v>
      </c>
      <c r="E10" s="189">
        <v>29.17</v>
      </c>
      <c r="F10" s="189">
        <v>100</v>
      </c>
      <c r="G10" s="189">
        <v>56.99</v>
      </c>
    </row>
    <row r="11" spans="1:7">
      <c r="A11" s="279">
        <v>45378</v>
      </c>
      <c r="B11" s="189">
        <v>12.24</v>
      </c>
      <c r="C11" s="189">
        <v>19.02</v>
      </c>
      <c r="D11" s="189">
        <v>15.51</v>
      </c>
      <c r="E11" s="189">
        <v>36.46</v>
      </c>
      <c r="F11" s="189">
        <v>95.7</v>
      </c>
      <c r="G11" s="189">
        <v>63.51</v>
      </c>
    </row>
    <row r="12" spans="1:7">
      <c r="A12" s="279">
        <v>45379</v>
      </c>
      <c r="B12" s="189">
        <v>14.29</v>
      </c>
      <c r="C12" s="189">
        <v>19.03</v>
      </c>
      <c r="D12" s="189">
        <v>16.43</v>
      </c>
      <c r="E12" s="189">
        <v>58.03</v>
      </c>
      <c r="F12" s="189">
        <v>96.6</v>
      </c>
      <c r="G12" s="189">
        <v>76.599999999999994</v>
      </c>
    </row>
    <row r="13" spans="1:7">
      <c r="A13" s="279">
        <v>45380</v>
      </c>
      <c r="B13" s="189">
        <v>11.57</v>
      </c>
      <c r="C13" s="189">
        <v>17.23</v>
      </c>
      <c r="D13" s="189">
        <v>14.52</v>
      </c>
      <c r="E13" s="189">
        <v>61.3</v>
      </c>
      <c r="F13" s="189">
        <v>100</v>
      </c>
      <c r="G13" s="189">
        <v>81.2</v>
      </c>
    </row>
    <row r="14" spans="1:7">
      <c r="A14" s="279">
        <v>45381</v>
      </c>
      <c r="B14" s="189">
        <v>9.77</v>
      </c>
      <c r="C14" s="189">
        <v>12.91</v>
      </c>
      <c r="D14" s="189">
        <v>11.48</v>
      </c>
      <c r="E14" s="189">
        <v>68.94</v>
      </c>
      <c r="F14" s="189">
        <v>100</v>
      </c>
      <c r="G14" s="189">
        <v>97.5</v>
      </c>
    </row>
    <row r="15" spans="1:7">
      <c r="A15" s="279">
        <v>45382</v>
      </c>
      <c r="B15" s="189">
        <v>8.31</v>
      </c>
      <c r="C15" s="189">
        <v>14.5</v>
      </c>
      <c r="D15" s="189">
        <v>12.03</v>
      </c>
      <c r="E15" s="189">
        <v>57.25</v>
      </c>
      <c r="F15" s="189">
        <v>100</v>
      </c>
      <c r="G15" s="189">
        <v>92.1</v>
      </c>
    </row>
    <row r="16" spans="1:7">
      <c r="A16" s="279">
        <v>45383</v>
      </c>
      <c r="B16" s="189">
        <v>6.78</v>
      </c>
      <c r="C16" s="189">
        <v>18.739999999999998</v>
      </c>
      <c r="D16" s="189">
        <v>13.19</v>
      </c>
      <c r="E16" s="189">
        <v>48.8</v>
      </c>
      <c r="F16" s="189">
        <v>100</v>
      </c>
      <c r="G16" s="189">
        <v>76</v>
      </c>
    </row>
    <row r="17" spans="1:7">
      <c r="A17" s="279">
        <v>45384</v>
      </c>
      <c r="B17" s="189">
        <v>7.64</v>
      </c>
      <c r="C17" s="189">
        <v>21.08</v>
      </c>
      <c r="D17" s="189">
        <v>14.2</v>
      </c>
      <c r="E17" s="189">
        <v>36.85</v>
      </c>
      <c r="F17" s="189">
        <v>100</v>
      </c>
      <c r="G17" s="189">
        <v>70.3</v>
      </c>
    </row>
    <row r="18" spans="1:7">
      <c r="A18" s="279">
        <v>45385</v>
      </c>
      <c r="B18" s="189">
        <v>7.51</v>
      </c>
      <c r="C18" s="189">
        <v>21.15</v>
      </c>
      <c r="D18" s="189">
        <v>14.46</v>
      </c>
      <c r="E18" s="189">
        <v>46.93</v>
      </c>
      <c r="F18" s="189">
        <v>100</v>
      </c>
      <c r="G18" s="189">
        <v>82.5</v>
      </c>
    </row>
    <row r="19" spans="1:7">
      <c r="A19" s="279">
        <v>45386</v>
      </c>
      <c r="B19" s="189">
        <v>8.24</v>
      </c>
      <c r="C19" s="189">
        <v>22.62</v>
      </c>
      <c r="D19" s="189">
        <v>15.3</v>
      </c>
      <c r="E19" s="189">
        <v>44.59</v>
      </c>
      <c r="F19" s="189">
        <v>100</v>
      </c>
      <c r="G19" s="189">
        <v>80.900000000000006</v>
      </c>
    </row>
    <row r="20" spans="1:7">
      <c r="A20" s="279">
        <v>45387</v>
      </c>
      <c r="B20" s="189">
        <v>8.3800000000000008</v>
      </c>
      <c r="C20" s="189">
        <v>23.94</v>
      </c>
      <c r="D20" s="189">
        <v>16.03</v>
      </c>
      <c r="E20" s="189">
        <v>35.65</v>
      </c>
      <c r="F20" s="189">
        <v>100</v>
      </c>
      <c r="G20" s="189">
        <v>73.5</v>
      </c>
    </row>
    <row r="21" spans="1:7">
      <c r="A21" s="279">
        <v>45388</v>
      </c>
      <c r="B21" s="189">
        <v>11.44</v>
      </c>
      <c r="C21" s="189">
        <v>32.81</v>
      </c>
      <c r="D21" s="189">
        <v>19.97</v>
      </c>
      <c r="E21" s="189">
        <v>22.02</v>
      </c>
      <c r="F21" s="189">
        <v>100</v>
      </c>
      <c r="G21" s="189">
        <v>65.02</v>
      </c>
    </row>
    <row r="22" spans="1:7">
      <c r="A22" s="279">
        <v>45389</v>
      </c>
      <c r="B22" s="189">
        <v>14.43</v>
      </c>
      <c r="C22" s="189">
        <v>24.35</v>
      </c>
      <c r="D22" s="189">
        <v>18.32</v>
      </c>
      <c r="E22" s="189">
        <v>51.6</v>
      </c>
      <c r="F22" s="189">
        <v>100</v>
      </c>
      <c r="G22" s="189">
        <v>80.2</v>
      </c>
    </row>
    <row r="23" spans="1:7">
      <c r="A23" s="279">
        <v>45390</v>
      </c>
      <c r="B23" s="189">
        <v>12.97</v>
      </c>
      <c r="C23" s="189">
        <v>24.41</v>
      </c>
      <c r="D23" s="189">
        <v>19.329999999999998</v>
      </c>
      <c r="E23" s="189">
        <v>35.58</v>
      </c>
      <c r="F23" s="189">
        <v>100</v>
      </c>
      <c r="G23" s="189">
        <v>63.34</v>
      </c>
    </row>
    <row r="24" spans="1:7">
      <c r="A24" s="279">
        <v>45391</v>
      </c>
      <c r="B24" s="189">
        <v>12.04</v>
      </c>
      <c r="C24" s="189">
        <v>21.75</v>
      </c>
      <c r="D24" s="189">
        <v>17.329999999999998</v>
      </c>
      <c r="E24" s="189">
        <v>25.3</v>
      </c>
      <c r="F24" s="189">
        <v>84.6</v>
      </c>
      <c r="G24" s="189">
        <v>49.55</v>
      </c>
    </row>
    <row r="25" spans="1:7">
      <c r="A25" s="279">
        <v>45392</v>
      </c>
      <c r="B25" s="189">
        <v>8.4499999999999993</v>
      </c>
      <c r="C25" s="189">
        <v>21.1</v>
      </c>
      <c r="D25" s="189">
        <v>14.91</v>
      </c>
      <c r="E25" s="189">
        <v>16.760000000000002</v>
      </c>
      <c r="F25" s="189">
        <v>100</v>
      </c>
      <c r="G25" s="189">
        <v>57.4</v>
      </c>
    </row>
    <row r="26" spans="1:7">
      <c r="A26" s="279">
        <v>45393</v>
      </c>
      <c r="B26" s="189">
        <v>7.64</v>
      </c>
      <c r="C26" s="189">
        <v>21.55</v>
      </c>
      <c r="D26" s="189">
        <v>14.83</v>
      </c>
      <c r="E26" s="189">
        <v>30.11</v>
      </c>
      <c r="F26" s="189">
        <v>94.1</v>
      </c>
      <c r="G26" s="189">
        <v>64.569999999999993</v>
      </c>
    </row>
    <row r="27" spans="1:7">
      <c r="A27" s="279">
        <v>45394</v>
      </c>
      <c r="B27" s="189">
        <v>9.7100000000000009</v>
      </c>
      <c r="C27" s="189">
        <v>19.55</v>
      </c>
      <c r="D27" s="189">
        <v>14.76</v>
      </c>
      <c r="E27" s="189">
        <v>45.01</v>
      </c>
      <c r="F27" s="189">
        <v>100</v>
      </c>
      <c r="G27" s="189">
        <v>74.400000000000006</v>
      </c>
    </row>
    <row r="28" spans="1:7">
      <c r="A28" s="279">
        <v>45395</v>
      </c>
      <c r="B28" s="189">
        <v>9.64</v>
      </c>
      <c r="C28" s="189">
        <v>20.95</v>
      </c>
      <c r="D28" s="189">
        <v>15.37</v>
      </c>
      <c r="E28" s="189">
        <v>41.99</v>
      </c>
      <c r="F28" s="189">
        <v>100</v>
      </c>
      <c r="G28" s="189">
        <v>74</v>
      </c>
    </row>
    <row r="29" spans="1:7">
      <c r="A29" s="279">
        <v>45396</v>
      </c>
      <c r="B29" s="189">
        <v>9.31</v>
      </c>
      <c r="C29" s="189">
        <v>22.75</v>
      </c>
      <c r="D29" s="189">
        <v>16.34</v>
      </c>
      <c r="E29" s="189">
        <v>33.11</v>
      </c>
      <c r="F29" s="189">
        <v>100</v>
      </c>
      <c r="G29" s="189">
        <v>68.39</v>
      </c>
    </row>
    <row r="30" spans="1:7">
      <c r="A30" s="279">
        <v>45397</v>
      </c>
      <c r="B30" s="189">
        <v>10.3</v>
      </c>
      <c r="C30" s="189">
        <v>25.47</v>
      </c>
      <c r="D30" s="189">
        <v>18.010000000000002</v>
      </c>
      <c r="E30" s="189">
        <v>27.43</v>
      </c>
      <c r="F30" s="189">
        <v>98.6</v>
      </c>
      <c r="G30" s="189">
        <v>65.06</v>
      </c>
    </row>
    <row r="31" spans="1:7">
      <c r="A31" s="279">
        <v>45398</v>
      </c>
      <c r="B31" s="189">
        <v>11.9</v>
      </c>
      <c r="C31" s="189">
        <v>28.4</v>
      </c>
      <c r="D31" s="189">
        <v>20.13</v>
      </c>
      <c r="E31" s="189">
        <v>28.44</v>
      </c>
      <c r="F31" s="189">
        <v>96.1</v>
      </c>
      <c r="G31" s="189">
        <v>62.66</v>
      </c>
    </row>
    <row r="32" spans="1:7">
      <c r="A32" s="279">
        <v>45399</v>
      </c>
      <c r="B32" s="189">
        <v>13.64</v>
      </c>
      <c r="C32" s="189">
        <v>27.56</v>
      </c>
      <c r="D32" s="189">
        <v>18.88</v>
      </c>
      <c r="E32" s="189">
        <v>29.04</v>
      </c>
      <c r="F32" s="189">
        <v>100</v>
      </c>
      <c r="G32" s="189">
        <v>78.099999999999994</v>
      </c>
    </row>
    <row r="33" spans="1:7">
      <c r="A33" s="279">
        <v>45400</v>
      </c>
      <c r="B33" s="189">
        <v>13.64</v>
      </c>
      <c r="C33" s="189">
        <v>21.01</v>
      </c>
      <c r="D33" s="189">
        <v>17.559999999999999</v>
      </c>
      <c r="E33" s="189">
        <v>67.69</v>
      </c>
      <c r="F33" s="189">
        <v>100</v>
      </c>
      <c r="G33" s="189">
        <v>87.4</v>
      </c>
    </row>
    <row r="34" spans="1:7">
      <c r="A34" s="279">
        <v>45401</v>
      </c>
      <c r="B34" s="189">
        <v>13.57</v>
      </c>
      <c r="C34" s="189">
        <v>19.95</v>
      </c>
      <c r="D34" s="189">
        <v>17.510000000000002</v>
      </c>
      <c r="E34" s="189">
        <v>43.21</v>
      </c>
      <c r="F34" s="189">
        <v>97.5</v>
      </c>
      <c r="G34" s="189">
        <v>72.2</v>
      </c>
    </row>
    <row r="35" spans="1:7">
      <c r="A35" s="279">
        <v>45402</v>
      </c>
      <c r="B35" s="189">
        <v>14.03</v>
      </c>
      <c r="C35" s="189">
        <v>19.079999999999998</v>
      </c>
      <c r="D35" s="189">
        <v>16.32</v>
      </c>
      <c r="E35" s="189">
        <v>58.01</v>
      </c>
      <c r="F35" s="189">
        <v>97.6</v>
      </c>
      <c r="G35" s="189">
        <v>80.599999999999994</v>
      </c>
    </row>
    <row r="36" spans="1:7">
      <c r="A36" s="279">
        <v>45403</v>
      </c>
      <c r="B36" s="189">
        <v>11.97</v>
      </c>
      <c r="C36" s="189">
        <v>21.55</v>
      </c>
      <c r="D36" s="189">
        <v>16.75</v>
      </c>
      <c r="E36" s="189">
        <v>38.520000000000003</v>
      </c>
      <c r="F36" s="189">
        <v>98.7</v>
      </c>
      <c r="G36" s="189">
        <v>72.400000000000006</v>
      </c>
    </row>
    <row r="37" spans="1:7">
      <c r="A37" s="279">
        <v>45404</v>
      </c>
      <c r="B37" s="189">
        <v>9.17</v>
      </c>
      <c r="C37" s="189">
        <v>20.95</v>
      </c>
      <c r="D37" s="189">
        <v>15.78</v>
      </c>
      <c r="E37" s="189">
        <v>45.01</v>
      </c>
      <c r="F37" s="189">
        <v>100</v>
      </c>
      <c r="G37" s="189">
        <v>78.3</v>
      </c>
    </row>
    <row r="38" spans="1:7">
      <c r="A38" s="279">
        <v>45405</v>
      </c>
      <c r="B38" s="189">
        <v>13.51</v>
      </c>
      <c r="C38" s="189">
        <v>20.48</v>
      </c>
      <c r="D38" s="189">
        <v>17.16</v>
      </c>
      <c r="E38" s="189">
        <v>50</v>
      </c>
      <c r="F38" s="189">
        <v>100</v>
      </c>
      <c r="G38" s="189">
        <v>79.900000000000006</v>
      </c>
    </row>
    <row r="39" spans="1:7">
      <c r="A39" s="279">
        <v>45406</v>
      </c>
      <c r="B39" s="189">
        <v>10.57</v>
      </c>
      <c r="C39" s="189">
        <v>22.41</v>
      </c>
      <c r="D39" s="189">
        <v>16.53</v>
      </c>
      <c r="E39" s="189">
        <v>35.380000000000003</v>
      </c>
      <c r="F39" s="189">
        <v>100</v>
      </c>
      <c r="G39" s="189">
        <v>72.8</v>
      </c>
    </row>
    <row r="40" spans="1:7">
      <c r="A40" s="279">
        <v>45407</v>
      </c>
      <c r="B40" s="189">
        <v>10.5</v>
      </c>
      <c r="C40" s="189">
        <v>22.55</v>
      </c>
      <c r="D40" s="189">
        <v>16.97</v>
      </c>
      <c r="E40" s="189">
        <v>38.880000000000003</v>
      </c>
      <c r="F40" s="189">
        <v>98.7</v>
      </c>
      <c r="G40" s="189">
        <v>68.25</v>
      </c>
    </row>
    <row r="41" spans="1:7">
      <c r="A41" s="279">
        <v>45408</v>
      </c>
      <c r="B41" s="189">
        <v>12.57</v>
      </c>
      <c r="C41" s="189">
        <v>21.48</v>
      </c>
      <c r="D41" s="189">
        <v>17.899999999999999</v>
      </c>
      <c r="E41" s="189">
        <v>40.869999999999997</v>
      </c>
      <c r="F41" s="189">
        <v>91.5</v>
      </c>
      <c r="G41" s="189">
        <v>55.99</v>
      </c>
    </row>
    <row r="42" spans="1:7">
      <c r="A42" s="279">
        <v>45409</v>
      </c>
      <c r="B42" s="189">
        <v>11.1</v>
      </c>
      <c r="C42" s="189">
        <v>19.55</v>
      </c>
      <c r="D42" s="189">
        <v>15.46</v>
      </c>
      <c r="E42" s="189">
        <v>54.41</v>
      </c>
      <c r="F42" s="189">
        <v>95.3</v>
      </c>
      <c r="G42" s="189">
        <v>75.900000000000006</v>
      </c>
    </row>
    <row r="43" spans="1:7">
      <c r="A43" s="279">
        <v>45410</v>
      </c>
      <c r="B43" s="189">
        <v>9.6999999999999993</v>
      </c>
      <c r="C43" s="189">
        <v>20.68</v>
      </c>
      <c r="D43" s="189">
        <v>16.22</v>
      </c>
      <c r="E43" s="189">
        <v>35.71</v>
      </c>
      <c r="F43" s="189">
        <v>97.9</v>
      </c>
      <c r="G43" s="189">
        <v>62.56</v>
      </c>
    </row>
    <row r="44" spans="1:7">
      <c r="A44" s="279">
        <v>45411</v>
      </c>
      <c r="B44" s="189">
        <v>11.04</v>
      </c>
      <c r="C44" s="189">
        <v>22.28</v>
      </c>
      <c r="D44" s="189">
        <v>16.45</v>
      </c>
      <c r="E44" s="189">
        <v>32.979999999999997</v>
      </c>
      <c r="F44" s="189">
        <v>94.8</v>
      </c>
      <c r="G44" s="189">
        <v>60.71</v>
      </c>
    </row>
    <row r="45" spans="1:7">
      <c r="A45" s="279">
        <v>45412</v>
      </c>
      <c r="B45" s="189">
        <v>10.029999999999999</v>
      </c>
      <c r="C45" s="189">
        <v>21.35</v>
      </c>
      <c r="D45" s="189">
        <v>16.399999999999999</v>
      </c>
      <c r="E45" s="189">
        <v>40.99</v>
      </c>
      <c r="F45" s="189">
        <v>90.6</v>
      </c>
      <c r="G45" s="189">
        <v>61.15</v>
      </c>
    </row>
    <row r="46" spans="1:7">
      <c r="A46" s="279">
        <v>45413</v>
      </c>
      <c r="B46" s="189">
        <v>11.64</v>
      </c>
      <c r="C46" s="189">
        <v>22.35</v>
      </c>
      <c r="D46" s="189">
        <v>17.21</v>
      </c>
      <c r="E46" s="189">
        <v>22.5</v>
      </c>
      <c r="F46" s="189">
        <v>99.8</v>
      </c>
      <c r="G46" s="189">
        <v>61</v>
      </c>
    </row>
    <row r="47" spans="1:7">
      <c r="A47" s="279">
        <v>45414</v>
      </c>
      <c r="B47" s="189">
        <v>10.43</v>
      </c>
      <c r="C47" s="189">
        <v>19.809999999999999</v>
      </c>
      <c r="D47" s="189">
        <v>16.079999999999998</v>
      </c>
      <c r="E47" s="189">
        <v>31.53</v>
      </c>
      <c r="F47" s="189">
        <v>94.1</v>
      </c>
      <c r="G47" s="189">
        <v>50.42</v>
      </c>
    </row>
    <row r="48" spans="1:7">
      <c r="A48" s="279">
        <v>45415</v>
      </c>
      <c r="B48" s="189">
        <v>8.9</v>
      </c>
      <c r="C48" s="189">
        <v>21.8</v>
      </c>
      <c r="D48" s="189">
        <v>16.739999999999998</v>
      </c>
      <c r="E48" s="189">
        <v>29.79</v>
      </c>
      <c r="F48" s="189">
        <v>90.6</v>
      </c>
      <c r="G48" s="189">
        <v>48.49</v>
      </c>
    </row>
    <row r="49" spans="1:7">
      <c r="A49" s="279">
        <v>45416</v>
      </c>
      <c r="B49" s="189">
        <v>7.04</v>
      </c>
      <c r="C49" s="189">
        <v>23.27</v>
      </c>
      <c r="D49" s="189">
        <v>15.87</v>
      </c>
      <c r="E49" s="189">
        <v>31.77</v>
      </c>
      <c r="F49" s="189">
        <v>96.9</v>
      </c>
      <c r="G49" s="189">
        <v>63.61</v>
      </c>
    </row>
    <row r="50" spans="1:7">
      <c r="A50" s="279">
        <v>45417</v>
      </c>
      <c r="B50" s="189">
        <v>8.9700000000000006</v>
      </c>
      <c r="C50" s="189">
        <v>27.73</v>
      </c>
      <c r="D50" s="189">
        <v>17.86</v>
      </c>
      <c r="E50" s="189">
        <v>25.96</v>
      </c>
      <c r="F50" s="189">
        <v>100</v>
      </c>
      <c r="G50" s="189">
        <v>72.8</v>
      </c>
    </row>
    <row r="51" spans="1:7">
      <c r="A51" s="279">
        <v>45418</v>
      </c>
      <c r="B51" s="189">
        <v>12.71</v>
      </c>
      <c r="C51" s="189">
        <v>26.6</v>
      </c>
      <c r="D51" s="189">
        <v>20.59</v>
      </c>
      <c r="E51" s="189">
        <v>32.78</v>
      </c>
      <c r="F51" s="189">
        <v>100</v>
      </c>
      <c r="G51" s="189">
        <v>63.43</v>
      </c>
    </row>
    <row r="52" spans="1:7">
      <c r="A52" s="279">
        <v>45419</v>
      </c>
      <c r="B52" s="189">
        <v>13.22</v>
      </c>
      <c r="C52" s="189">
        <v>23.15</v>
      </c>
      <c r="D52" s="189">
        <v>19.13</v>
      </c>
      <c r="E52" s="189">
        <v>36.65</v>
      </c>
      <c r="F52" s="189">
        <v>100</v>
      </c>
      <c r="G52" s="189">
        <v>67.94</v>
      </c>
    </row>
    <row r="53" spans="1:7">
      <c r="A53" s="279">
        <v>45420</v>
      </c>
      <c r="B53" s="189">
        <v>11.24</v>
      </c>
      <c r="C53" s="189">
        <v>22.28</v>
      </c>
      <c r="D53" s="189">
        <v>17.22</v>
      </c>
      <c r="E53" s="189">
        <v>39.119999999999997</v>
      </c>
      <c r="F53" s="189">
        <v>100</v>
      </c>
      <c r="G53" s="189">
        <v>74.2</v>
      </c>
    </row>
    <row r="54" spans="1:7">
      <c r="A54" s="279">
        <v>45421</v>
      </c>
      <c r="B54" s="189">
        <v>10.43</v>
      </c>
      <c r="C54" s="189">
        <v>24.81</v>
      </c>
      <c r="D54" s="189">
        <v>17.96</v>
      </c>
      <c r="E54" s="189">
        <v>26.3</v>
      </c>
      <c r="F54" s="189">
        <v>96.6</v>
      </c>
      <c r="G54" s="189">
        <v>64.81</v>
      </c>
    </row>
    <row r="55" spans="1:7">
      <c r="A55" s="279">
        <v>45422</v>
      </c>
      <c r="B55" s="189">
        <v>11.5</v>
      </c>
      <c r="C55" s="189">
        <v>23.08</v>
      </c>
      <c r="D55" s="189">
        <v>18.100000000000001</v>
      </c>
      <c r="E55" s="189">
        <v>36.57</v>
      </c>
      <c r="F55" s="189">
        <v>94.5</v>
      </c>
      <c r="G55" s="189">
        <v>66.13</v>
      </c>
    </row>
    <row r="56" spans="1:7">
      <c r="A56" s="279">
        <v>45423</v>
      </c>
      <c r="B56" s="189">
        <v>13.16</v>
      </c>
      <c r="C56" s="189">
        <v>24</v>
      </c>
      <c r="D56" s="189">
        <v>19.23</v>
      </c>
      <c r="E56" s="189">
        <v>32.119999999999997</v>
      </c>
      <c r="F56" s="189">
        <v>100</v>
      </c>
      <c r="G56" s="189">
        <v>67.06</v>
      </c>
    </row>
    <row r="57" spans="1:7">
      <c r="A57" s="279">
        <v>45424</v>
      </c>
      <c r="B57" s="189">
        <v>11.44</v>
      </c>
      <c r="C57" s="189">
        <v>22.4</v>
      </c>
      <c r="D57" s="189">
        <v>17.72</v>
      </c>
      <c r="E57" s="189">
        <v>51.6</v>
      </c>
      <c r="F57" s="189">
        <v>100</v>
      </c>
      <c r="G57" s="189">
        <v>76.400000000000006</v>
      </c>
    </row>
    <row r="58" spans="1:7">
      <c r="A58" s="279">
        <v>45425</v>
      </c>
      <c r="B58" s="189">
        <v>11.24</v>
      </c>
      <c r="C58" s="189">
        <v>23.46</v>
      </c>
      <c r="D58" s="189">
        <v>17.98</v>
      </c>
      <c r="E58" s="189">
        <v>50.58</v>
      </c>
      <c r="F58" s="189">
        <v>100</v>
      </c>
      <c r="G58" s="189">
        <v>80.400000000000006</v>
      </c>
    </row>
    <row r="59" spans="1:7">
      <c r="A59" s="279">
        <v>45426</v>
      </c>
      <c r="B59" s="189">
        <v>12.64</v>
      </c>
      <c r="C59" s="189">
        <v>25.33</v>
      </c>
      <c r="D59" s="189">
        <v>20.260000000000002</v>
      </c>
      <c r="E59" s="189">
        <v>28.77</v>
      </c>
      <c r="F59" s="189">
        <v>100</v>
      </c>
      <c r="G59" s="189">
        <v>60.34</v>
      </c>
    </row>
    <row r="60" spans="1:7">
      <c r="A60" s="279">
        <v>45427</v>
      </c>
      <c r="B60" s="189">
        <v>17.63</v>
      </c>
      <c r="C60" s="189">
        <v>25.41</v>
      </c>
      <c r="D60" s="189">
        <v>21.22</v>
      </c>
      <c r="E60" s="189">
        <v>20.36</v>
      </c>
      <c r="F60" s="189">
        <v>42.2</v>
      </c>
      <c r="G60" s="189">
        <v>33.64</v>
      </c>
    </row>
    <row r="61" spans="1:7">
      <c r="A61" s="279">
        <v>45428</v>
      </c>
      <c r="B61" s="189">
        <v>17.02</v>
      </c>
      <c r="C61" s="189">
        <v>22.68</v>
      </c>
      <c r="D61" s="189">
        <v>20.100000000000001</v>
      </c>
      <c r="E61" s="189">
        <v>34.119999999999997</v>
      </c>
      <c r="F61" s="189">
        <v>63.9</v>
      </c>
      <c r="G61" s="189">
        <v>42.52</v>
      </c>
    </row>
    <row r="62" spans="1:7">
      <c r="A62" s="279">
        <v>45429</v>
      </c>
      <c r="B62" s="189">
        <v>13.29</v>
      </c>
      <c r="C62" s="189">
        <v>24.8</v>
      </c>
      <c r="D62" s="189">
        <v>20.149999999999999</v>
      </c>
      <c r="E62" s="189">
        <v>43.34</v>
      </c>
      <c r="F62" s="189">
        <v>96.8</v>
      </c>
      <c r="G62" s="189">
        <v>59.31</v>
      </c>
    </row>
    <row r="63" spans="1:7">
      <c r="A63" s="279">
        <v>45430</v>
      </c>
      <c r="B63" s="189">
        <v>11.3</v>
      </c>
      <c r="C63" s="189">
        <v>24.53</v>
      </c>
      <c r="D63" s="189">
        <v>18.329999999999998</v>
      </c>
      <c r="E63" s="189">
        <v>39.17</v>
      </c>
      <c r="F63" s="189">
        <v>100</v>
      </c>
      <c r="G63" s="189">
        <v>69.98</v>
      </c>
    </row>
    <row r="64" spans="1:7">
      <c r="A64" s="279">
        <v>45431</v>
      </c>
      <c r="B64" s="189">
        <v>11.9</v>
      </c>
      <c r="C64" s="189">
        <v>23.8</v>
      </c>
      <c r="D64" s="189">
        <v>18.190000000000001</v>
      </c>
      <c r="E64" s="189">
        <v>36.9</v>
      </c>
      <c r="F64" s="189">
        <v>100</v>
      </c>
      <c r="G64" s="189">
        <v>68.66</v>
      </c>
    </row>
    <row r="65" spans="1:7">
      <c r="A65" s="279">
        <v>45432</v>
      </c>
      <c r="B65" s="189">
        <v>12.44</v>
      </c>
      <c r="C65" s="189">
        <v>23.02</v>
      </c>
      <c r="D65" s="189">
        <v>18.32</v>
      </c>
      <c r="E65" s="189">
        <v>35.72</v>
      </c>
      <c r="F65" s="189">
        <v>100</v>
      </c>
      <c r="G65" s="189">
        <v>65.099999999999994</v>
      </c>
    </row>
    <row r="66" spans="1:7">
      <c r="A66" s="279">
        <v>45433</v>
      </c>
      <c r="B66" s="189">
        <v>11.5</v>
      </c>
      <c r="C66" s="189">
        <v>24.22</v>
      </c>
      <c r="D66" s="189">
        <v>19.38</v>
      </c>
      <c r="E66" s="189">
        <v>32.79</v>
      </c>
      <c r="F66" s="189">
        <v>100</v>
      </c>
      <c r="G66" s="189">
        <v>55.99</v>
      </c>
    </row>
    <row r="67" spans="1:7">
      <c r="A67" s="279">
        <v>45434</v>
      </c>
      <c r="B67" s="189">
        <v>14.76</v>
      </c>
      <c r="C67" s="189">
        <v>25.2</v>
      </c>
      <c r="D67" s="189">
        <v>20.79</v>
      </c>
      <c r="E67" s="189">
        <v>33.369999999999997</v>
      </c>
      <c r="F67" s="189">
        <v>96</v>
      </c>
      <c r="G67" s="189">
        <v>51.21</v>
      </c>
    </row>
    <row r="68" spans="1:7">
      <c r="A68" s="279">
        <v>45435</v>
      </c>
      <c r="B68" s="189">
        <v>12.17</v>
      </c>
      <c r="C68" s="189">
        <v>24.86</v>
      </c>
      <c r="D68" s="189">
        <v>19.25</v>
      </c>
      <c r="E68" s="189">
        <v>28.23</v>
      </c>
      <c r="F68" s="189">
        <v>94.8</v>
      </c>
      <c r="G68" s="189">
        <v>54.71</v>
      </c>
    </row>
    <row r="69" spans="1:7">
      <c r="A69" s="279">
        <v>45436</v>
      </c>
      <c r="B69" s="189">
        <v>13.71</v>
      </c>
      <c r="C69" s="189">
        <v>24</v>
      </c>
      <c r="D69" s="189">
        <v>19.28</v>
      </c>
      <c r="E69" s="189">
        <v>36.72</v>
      </c>
      <c r="F69" s="189">
        <v>99.3</v>
      </c>
      <c r="G69" s="189">
        <v>61.19</v>
      </c>
    </row>
    <row r="70" spans="1:7">
      <c r="A70" s="279">
        <v>45437</v>
      </c>
      <c r="B70" s="189">
        <v>14.29</v>
      </c>
      <c r="C70" s="189">
        <v>24.6</v>
      </c>
      <c r="D70" s="189">
        <v>19.600000000000001</v>
      </c>
      <c r="E70" s="189">
        <v>51.18</v>
      </c>
      <c r="F70" s="189">
        <v>100</v>
      </c>
      <c r="G70" s="189">
        <v>79</v>
      </c>
    </row>
    <row r="71" spans="1:7">
      <c r="A71" s="279">
        <v>45438</v>
      </c>
      <c r="B71" s="189">
        <v>15.63</v>
      </c>
      <c r="C71" s="189">
        <v>25.87</v>
      </c>
      <c r="D71" s="189">
        <v>20.57</v>
      </c>
      <c r="E71" s="189">
        <v>49.25</v>
      </c>
      <c r="F71" s="189">
        <v>100</v>
      </c>
      <c r="G71" s="189">
        <v>78.099999999999994</v>
      </c>
    </row>
    <row r="72" spans="1:7">
      <c r="A72" s="279">
        <v>45439</v>
      </c>
      <c r="B72" s="189">
        <v>15.09</v>
      </c>
      <c r="C72" s="189">
        <v>24.86</v>
      </c>
      <c r="D72" s="189">
        <v>20.309999999999999</v>
      </c>
      <c r="E72" s="189">
        <v>56.72</v>
      </c>
      <c r="F72" s="189">
        <v>100</v>
      </c>
      <c r="G72" s="189">
        <v>88.3</v>
      </c>
    </row>
    <row r="73" spans="1:7">
      <c r="A73" s="279">
        <v>45440</v>
      </c>
      <c r="B73" s="189">
        <v>15.69</v>
      </c>
      <c r="C73" s="189">
        <v>24.8</v>
      </c>
      <c r="D73" s="189">
        <v>20.350000000000001</v>
      </c>
      <c r="E73" s="189">
        <v>59.26</v>
      </c>
      <c r="F73" s="189">
        <v>100</v>
      </c>
      <c r="G73" s="189">
        <v>89</v>
      </c>
    </row>
    <row r="74" spans="1:7">
      <c r="A74" s="279">
        <v>45441</v>
      </c>
      <c r="B74" s="189">
        <v>16.29</v>
      </c>
      <c r="C74" s="189">
        <v>24.2</v>
      </c>
      <c r="D74" s="189">
        <v>20.72</v>
      </c>
      <c r="E74" s="189">
        <v>62.4</v>
      </c>
      <c r="F74" s="189">
        <v>100</v>
      </c>
      <c r="G74" s="189">
        <v>87.4</v>
      </c>
    </row>
    <row r="75" spans="1:7">
      <c r="A75" s="279">
        <v>45442</v>
      </c>
      <c r="B75" s="189">
        <v>13.44</v>
      </c>
      <c r="C75" s="189">
        <v>25.47</v>
      </c>
      <c r="D75" s="189">
        <v>20.2</v>
      </c>
      <c r="E75" s="189">
        <v>54.87</v>
      </c>
      <c r="F75" s="189">
        <v>100</v>
      </c>
      <c r="G75" s="189">
        <v>80.3</v>
      </c>
    </row>
    <row r="76" spans="1:7">
      <c r="A76" s="279">
        <v>45443</v>
      </c>
      <c r="B76" s="189">
        <v>14.49</v>
      </c>
      <c r="C76" s="189">
        <v>27.66</v>
      </c>
      <c r="D76" s="189">
        <v>21.38</v>
      </c>
      <c r="E76" s="189">
        <v>42.84</v>
      </c>
      <c r="F76" s="189">
        <v>100</v>
      </c>
      <c r="G76" s="189">
        <v>80.099999999999994</v>
      </c>
    </row>
    <row r="77" spans="1:7">
      <c r="A77" s="279">
        <v>45444</v>
      </c>
      <c r="B77" s="189">
        <v>16.89</v>
      </c>
      <c r="C77" s="189">
        <v>24.6</v>
      </c>
      <c r="D77" s="189">
        <v>20.63</v>
      </c>
      <c r="E77" s="189">
        <v>55.59</v>
      </c>
      <c r="F77" s="189">
        <v>100</v>
      </c>
      <c r="G77" s="189">
        <v>86.2</v>
      </c>
    </row>
    <row r="78" spans="1:7">
      <c r="A78" s="279">
        <v>45445</v>
      </c>
      <c r="B78" s="189">
        <v>16.89</v>
      </c>
      <c r="C78" s="189">
        <v>24.4</v>
      </c>
      <c r="D78" s="189">
        <v>20.46</v>
      </c>
      <c r="E78" s="189">
        <v>43.84</v>
      </c>
      <c r="F78" s="189">
        <v>100</v>
      </c>
      <c r="G78" s="189">
        <v>77.7</v>
      </c>
    </row>
    <row r="79" spans="1:7">
      <c r="A79" s="279">
        <v>45446</v>
      </c>
      <c r="B79" s="189">
        <v>13.9</v>
      </c>
      <c r="C79" s="189">
        <v>25.4</v>
      </c>
      <c r="D79" s="189">
        <v>20.64</v>
      </c>
      <c r="E79" s="189">
        <v>37.64</v>
      </c>
      <c r="F79" s="189">
        <v>100</v>
      </c>
      <c r="G79" s="189">
        <v>62.21</v>
      </c>
    </row>
    <row r="80" spans="1:7">
      <c r="A80" s="279">
        <v>45447</v>
      </c>
      <c r="B80" s="189">
        <v>14.42</v>
      </c>
      <c r="C80" s="189">
        <v>26.2</v>
      </c>
      <c r="D80" s="189">
        <v>20.74</v>
      </c>
      <c r="E80" s="189">
        <v>33.03</v>
      </c>
      <c r="F80" s="189">
        <v>92.1</v>
      </c>
      <c r="G80" s="189">
        <v>54.64</v>
      </c>
    </row>
    <row r="81" spans="1:7">
      <c r="A81" s="279">
        <v>45448</v>
      </c>
      <c r="B81" s="189">
        <v>13.64</v>
      </c>
      <c r="C81" s="189">
        <v>26.47</v>
      </c>
      <c r="D81" s="189">
        <v>20.71</v>
      </c>
      <c r="E81" s="189">
        <v>47.73</v>
      </c>
      <c r="F81" s="189">
        <v>97.3</v>
      </c>
      <c r="G81" s="189">
        <v>73</v>
      </c>
    </row>
    <row r="82" spans="1:7">
      <c r="A82" s="279">
        <v>45449</v>
      </c>
      <c r="B82" s="189">
        <v>17.760000000000002</v>
      </c>
      <c r="C82" s="189">
        <v>33.92</v>
      </c>
      <c r="D82" s="189">
        <v>25.02</v>
      </c>
      <c r="E82" s="189">
        <v>24.62</v>
      </c>
      <c r="F82" s="189">
        <v>93.2</v>
      </c>
      <c r="G82" s="189">
        <v>51.25</v>
      </c>
    </row>
    <row r="83" spans="1:7">
      <c r="A83" s="279">
        <v>45450</v>
      </c>
      <c r="B83" s="189">
        <v>18.88</v>
      </c>
      <c r="C83" s="189">
        <v>29.33</v>
      </c>
      <c r="D83" s="189">
        <v>24.12</v>
      </c>
      <c r="E83" s="189">
        <v>40.1</v>
      </c>
      <c r="F83" s="189">
        <v>100</v>
      </c>
      <c r="G83" s="189">
        <v>64.83</v>
      </c>
    </row>
    <row r="84" spans="1:7">
      <c r="A84" s="279">
        <v>45451</v>
      </c>
      <c r="B84" s="189">
        <v>17.48</v>
      </c>
      <c r="C84" s="189">
        <v>26.87</v>
      </c>
      <c r="D84" s="189">
        <v>22.54</v>
      </c>
      <c r="E84" s="189">
        <v>40.840000000000003</v>
      </c>
      <c r="F84" s="189">
        <v>100</v>
      </c>
      <c r="G84" s="189">
        <v>67.95</v>
      </c>
    </row>
    <row r="85" spans="1:7">
      <c r="A85" s="279">
        <v>45452</v>
      </c>
      <c r="B85" s="189">
        <v>13.9</v>
      </c>
      <c r="C85" s="189">
        <v>26.07</v>
      </c>
      <c r="D85" s="189">
        <v>20.6</v>
      </c>
      <c r="E85" s="189">
        <v>46.11</v>
      </c>
      <c r="F85" s="189">
        <v>100</v>
      </c>
      <c r="G85" s="189">
        <v>68.48</v>
      </c>
    </row>
    <row r="86" spans="1:7">
      <c r="A86" s="279">
        <v>45453</v>
      </c>
      <c r="B86" s="189">
        <v>16.43</v>
      </c>
      <c r="C86" s="189">
        <v>27.66</v>
      </c>
      <c r="D86" s="189">
        <v>22.47</v>
      </c>
      <c r="E86" s="189">
        <v>43.64</v>
      </c>
      <c r="F86" s="189">
        <v>100</v>
      </c>
      <c r="G86" s="189">
        <v>66.86</v>
      </c>
    </row>
    <row r="87" spans="1:7">
      <c r="A87" s="279">
        <v>45454</v>
      </c>
      <c r="B87" s="189">
        <v>15.89</v>
      </c>
      <c r="C87" s="189">
        <v>27.06</v>
      </c>
      <c r="D87" s="189">
        <v>21.43</v>
      </c>
      <c r="E87" s="189">
        <v>45.11</v>
      </c>
      <c r="F87" s="189">
        <v>100</v>
      </c>
      <c r="G87" s="189">
        <v>74.599999999999994</v>
      </c>
    </row>
    <row r="88" spans="1:7">
      <c r="A88" s="279">
        <v>45455</v>
      </c>
      <c r="B88" s="189">
        <v>14.96</v>
      </c>
      <c r="C88" s="189">
        <v>26.46</v>
      </c>
      <c r="D88" s="189">
        <v>21.13</v>
      </c>
      <c r="E88" s="189">
        <v>47.64</v>
      </c>
      <c r="F88" s="189">
        <v>100</v>
      </c>
      <c r="G88" s="189">
        <v>77.3</v>
      </c>
    </row>
    <row r="89" spans="1:7">
      <c r="A89" s="279">
        <v>45456</v>
      </c>
      <c r="B89" s="189">
        <v>17.670000000000002</v>
      </c>
      <c r="C89" s="189">
        <v>25.13</v>
      </c>
      <c r="D89" s="189">
        <v>21.16</v>
      </c>
      <c r="E89" s="189">
        <v>61.61</v>
      </c>
      <c r="F89" s="189">
        <v>100</v>
      </c>
      <c r="G89" s="189">
        <v>85.93</v>
      </c>
    </row>
    <row r="90" spans="1:7">
      <c r="A90" s="279">
        <v>45457</v>
      </c>
      <c r="B90" s="189">
        <v>16.29</v>
      </c>
      <c r="C90" s="189">
        <v>30.31</v>
      </c>
      <c r="D90" s="189">
        <v>22.74</v>
      </c>
      <c r="E90" s="189">
        <v>30.49</v>
      </c>
      <c r="F90" s="189">
        <v>100</v>
      </c>
      <c r="G90" s="189">
        <v>62.34</v>
      </c>
    </row>
    <row r="91" spans="1:7">
      <c r="A91" s="279">
        <v>45458</v>
      </c>
      <c r="B91" s="189">
        <v>17.23</v>
      </c>
      <c r="C91" s="189">
        <v>31.05</v>
      </c>
      <c r="D91" s="189">
        <v>23.15</v>
      </c>
      <c r="E91" s="189">
        <v>38.43</v>
      </c>
      <c r="F91" s="189">
        <v>100</v>
      </c>
      <c r="G91" s="189">
        <v>64.67</v>
      </c>
    </row>
    <row r="92" spans="1:7">
      <c r="A92" s="279">
        <v>45459</v>
      </c>
      <c r="B92" s="189">
        <v>13.51</v>
      </c>
      <c r="C92" s="189">
        <v>26.4</v>
      </c>
      <c r="D92" s="189">
        <v>21.02</v>
      </c>
      <c r="E92" s="189">
        <v>46.91</v>
      </c>
      <c r="F92" s="189">
        <v>100</v>
      </c>
      <c r="G92" s="189">
        <v>75.400000000000006</v>
      </c>
    </row>
    <row r="93" spans="1:7">
      <c r="A93" s="279">
        <v>45460</v>
      </c>
      <c r="B93" s="189">
        <v>14.82</v>
      </c>
      <c r="C93" s="189">
        <v>26.33</v>
      </c>
      <c r="D93" s="189">
        <v>21.04</v>
      </c>
      <c r="E93" s="189">
        <v>51.2</v>
      </c>
      <c r="F93" s="189">
        <v>100</v>
      </c>
      <c r="G93" s="189">
        <v>78.5</v>
      </c>
    </row>
    <row r="94" spans="1:7">
      <c r="A94" s="279">
        <v>45461</v>
      </c>
      <c r="B94" s="189">
        <v>14.56</v>
      </c>
      <c r="C94" s="189">
        <v>29.06</v>
      </c>
      <c r="D94" s="189">
        <v>22.02</v>
      </c>
      <c r="E94" s="189">
        <v>37.1</v>
      </c>
      <c r="F94" s="189">
        <v>100</v>
      </c>
      <c r="G94" s="189">
        <v>71.599999999999994</v>
      </c>
    </row>
    <row r="95" spans="1:7">
      <c r="A95" s="279">
        <v>45462</v>
      </c>
      <c r="B95" s="189">
        <v>14.76</v>
      </c>
      <c r="C95" s="189">
        <v>25.47</v>
      </c>
      <c r="D95" s="189">
        <v>20.96</v>
      </c>
      <c r="E95" s="189">
        <v>34.57</v>
      </c>
      <c r="F95" s="189">
        <v>100</v>
      </c>
      <c r="G95" s="189">
        <v>63.45</v>
      </c>
    </row>
    <row r="96" spans="1:7">
      <c r="A96" s="279">
        <v>45463</v>
      </c>
      <c r="B96" s="189">
        <v>12.77</v>
      </c>
      <c r="C96" s="189">
        <v>25.2</v>
      </c>
      <c r="D96" s="189">
        <v>20.77</v>
      </c>
      <c r="E96" s="189">
        <v>32.909999999999997</v>
      </c>
      <c r="F96" s="189">
        <v>100</v>
      </c>
      <c r="G96" s="189">
        <v>59.58</v>
      </c>
    </row>
    <row r="97" spans="1:7">
      <c r="A97" s="279">
        <v>45464</v>
      </c>
      <c r="B97" s="189">
        <v>15.49</v>
      </c>
      <c r="C97" s="189">
        <v>28.91</v>
      </c>
      <c r="D97" s="189">
        <v>23.26</v>
      </c>
      <c r="E97" s="189">
        <v>30.22</v>
      </c>
      <c r="F97" s="189">
        <v>100</v>
      </c>
      <c r="G97" s="189">
        <v>49.14</v>
      </c>
    </row>
    <row r="98" spans="1:7">
      <c r="A98" s="279">
        <v>45465</v>
      </c>
      <c r="B98" s="189">
        <v>15.09</v>
      </c>
      <c r="C98" s="189">
        <v>29.05</v>
      </c>
      <c r="D98" s="189">
        <v>22.62</v>
      </c>
      <c r="E98" s="189">
        <v>27.69</v>
      </c>
      <c r="F98" s="189">
        <v>63.04</v>
      </c>
      <c r="G98" s="189">
        <v>45.81</v>
      </c>
    </row>
    <row r="99" spans="1:7">
      <c r="A99" s="279">
        <v>45466</v>
      </c>
      <c r="B99" s="189">
        <v>14.96</v>
      </c>
      <c r="C99" s="189">
        <v>28.92</v>
      </c>
      <c r="D99" s="189">
        <v>22.33</v>
      </c>
      <c r="E99" s="189">
        <v>27.09</v>
      </c>
      <c r="F99" s="189">
        <v>74.7</v>
      </c>
      <c r="G99" s="189">
        <v>46.85</v>
      </c>
    </row>
    <row r="100" spans="1:7">
      <c r="A100" s="279">
        <v>45467</v>
      </c>
      <c r="B100" s="189">
        <v>16.29</v>
      </c>
      <c r="C100" s="189">
        <v>27.8</v>
      </c>
      <c r="D100" s="189">
        <v>22.51</v>
      </c>
      <c r="E100" s="189">
        <v>36.44</v>
      </c>
      <c r="F100" s="189">
        <v>100</v>
      </c>
      <c r="G100" s="189">
        <v>61.41</v>
      </c>
    </row>
    <row r="101" spans="1:7">
      <c r="A101" s="279">
        <v>45468</v>
      </c>
      <c r="B101" s="189">
        <v>16.16</v>
      </c>
      <c r="C101" s="189">
        <v>28.53</v>
      </c>
      <c r="D101" s="189">
        <v>22.73</v>
      </c>
      <c r="E101" s="189">
        <v>38.17</v>
      </c>
      <c r="F101" s="189">
        <v>100</v>
      </c>
      <c r="G101" s="189">
        <v>68.16</v>
      </c>
    </row>
    <row r="102" spans="1:7">
      <c r="A102" s="279">
        <v>45469</v>
      </c>
      <c r="B102" s="189">
        <v>18.420000000000002</v>
      </c>
      <c r="C102" s="189">
        <v>28.14</v>
      </c>
      <c r="D102" s="189">
        <v>23.24</v>
      </c>
      <c r="E102" s="189">
        <v>35.299999999999997</v>
      </c>
      <c r="F102" s="189">
        <v>100</v>
      </c>
      <c r="G102" s="189">
        <v>64.040000000000006</v>
      </c>
    </row>
    <row r="103" spans="1:7">
      <c r="A103" s="279">
        <v>45470</v>
      </c>
      <c r="B103" s="189">
        <v>17.559999999999999</v>
      </c>
      <c r="C103" s="189">
        <v>25.87</v>
      </c>
      <c r="D103" s="189">
        <v>21.99</v>
      </c>
      <c r="E103" s="189">
        <v>45.85</v>
      </c>
      <c r="F103" s="189">
        <v>100</v>
      </c>
      <c r="G103" s="189">
        <v>71.7</v>
      </c>
    </row>
    <row r="104" spans="1:7">
      <c r="A104" s="279">
        <v>45471</v>
      </c>
      <c r="B104" s="189">
        <v>16.89</v>
      </c>
      <c r="C104" s="189">
        <v>28.92</v>
      </c>
      <c r="D104" s="189">
        <v>23.4</v>
      </c>
      <c r="E104" s="189">
        <v>33.96</v>
      </c>
      <c r="F104" s="189">
        <v>100</v>
      </c>
      <c r="G104" s="189">
        <v>58.99</v>
      </c>
    </row>
    <row r="105" spans="1:7">
      <c r="A105" s="279">
        <v>45472</v>
      </c>
      <c r="B105" s="189">
        <v>15.16</v>
      </c>
      <c r="C105" s="189">
        <v>28.33</v>
      </c>
      <c r="D105" s="189">
        <v>22.34</v>
      </c>
      <c r="E105" s="189">
        <v>44.11</v>
      </c>
      <c r="F105" s="189">
        <v>100</v>
      </c>
      <c r="G105" s="189">
        <v>70.5</v>
      </c>
    </row>
    <row r="106" spans="1:7">
      <c r="A106" s="279">
        <v>45473</v>
      </c>
      <c r="B106" s="189">
        <v>16.09</v>
      </c>
      <c r="C106" s="189">
        <v>28.92</v>
      </c>
      <c r="D106" s="189">
        <v>22.03</v>
      </c>
      <c r="E106" s="189">
        <v>40.229999999999997</v>
      </c>
      <c r="F106" s="189">
        <v>100</v>
      </c>
      <c r="G106" s="189">
        <v>76.599999999999994</v>
      </c>
    </row>
    <row r="107" spans="1:7">
      <c r="A107" s="279">
        <v>45474</v>
      </c>
      <c r="B107" s="189">
        <v>16.36</v>
      </c>
      <c r="C107" s="189">
        <v>32.32</v>
      </c>
      <c r="D107" s="189">
        <v>23.21</v>
      </c>
      <c r="E107" s="189">
        <v>32.619999999999997</v>
      </c>
      <c r="F107" s="189">
        <v>100</v>
      </c>
      <c r="G107" s="189">
        <v>73</v>
      </c>
    </row>
    <row r="108" spans="1:7">
      <c r="A108" s="279">
        <v>45475</v>
      </c>
      <c r="B108" s="189">
        <v>16.690000000000001</v>
      </c>
      <c r="C108" s="189">
        <v>29.85</v>
      </c>
      <c r="D108" s="189">
        <v>23.04</v>
      </c>
      <c r="E108" s="189">
        <v>41.43</v>
      </c>
      <c r="F108" s="189">
        <v>100</v>
      </c>
      <c r="G108" s="189">
        <v>75.099999999999994</v>
      </c>
    </row>
    <row r="109" spans="1:7">
      <c r="A109" s="279">
        <v>45476</v>
      </c>
      <c r="B109" s="189">
        <v>15.76</v>
      </c>
      <c r="C109" s="189">
        <v>31.45</v>
      </c>
      <c r="D109" s="189">
        <v>23.4</v>
      </c>
      <c r="E109" s="189">
        <v>34.090000000000003</v>
      </c>
      <c r="F109" s="189">
        <v>100</v>
      </c>
      <c r="G109" s="189">
        <v>67.39</v>
      </c>
    </row>
    <row r="110" spans="1:7">
      <c r="A110" s="279">
        <v>45477</v>
      </c>
      <c r="B110" s="189">
        <v>17.100000000000001</v>
      </c>
      <c r="C110" s="189">
        <v>34.18</v>
      </c>
      <c r="D110" s="189">
        <v>25.44</v>
      </c>
      <c r="E110" s="189">
        <v>21.08</v>
      </c>
      <c r="F110" s="189">
        <v>100</v>
      </c>
      <c r="G110" s="189">
        <v>57.23</v>
      </c>
    </row>
    <row r="111" spans="1:7">
      <c r="A111" s="279">
        <v>45478</v>
      </c>
      <c r="B111" s="189">
        <v>15.89</v>
      </c>
      <c r="C111" s="189">
        <v>31.31</v>
      </c>
      <c r="D111" s="189">
        <v>24.32</v>
      </c>
      <c r="E111" s="189">
        <v>33.76</v>
      </c>
      <c r="F111" s="189">
        <v>93.3</v>
      </c>
      <c r="G111" s="189">
        <v>53.13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164B3AF959B47BC0AD0BF10C182BD" ma:contentTypeVersion="6" ma:contentTypeDescription="Crée un document." ma:contentTypeScope="" ma:versionID="39235a6f8a5e69820b10600ad3c35413">
  <xsd:schema xmlns:xsd="http://www.w3.org/2001/XMLSchema" xmlns:xs="http://www.w3.org/2001/XMLSchema" xmlns:p="http://schemas.microsoft.com/office/2006/metadata/properties" xmlns:ns2="e829b7d3-5a90-41cc-b0d3-4d05a33387f8" xmlns:ns3="f984c3ec-a1dd-4aa3-a3dc-409d403bdaf5" targetNamespace="http://schemas.microsoft.com/office/2006/metadata/properties" ma:root="true" ma:fieldsID="920408cd168065e9c84bd3c4d537071c" ns2:_="" ns3:_="">
    <xsd:import namespace="e829b7d3-5a90-41cc-b0d3-4d05a33387f8"/>
    <xsd:import namespace="f984c3ec-a1dd-4aa3-a3dc-409d403bda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b7d3-5a90-41cc-b0d3-4d05a3338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4c3ec-a1dd-4aa3-a3dc-409d403bdaf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DAE6C5-1108-4056-90F9-EDCF92706EED}"/>
</file>

<file path=customXml/itemProps2.xml><?xml version="1.0" encoding="utf-8"?>
<ds:datastoreItem xmlns:ds="http://schemas.openxmlformats.org/officeDocument/2006/customXml" ds:itemID="{C055B3B2-3E9F-4F72-B3C8-7DDB4EB016C6}"/>
</file>

<file path=customXml/itemProps3.xml><?xml version="1.0" encoding="utf-8"?>
<ds:datastoreItem xmlns:ds="http://schemas.openxmlformats.org/officeDocument/2006/customXml" ds:itemID="{21B6F099-F784-44A0-A1FC-F3DA65ACC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HP9</dc:creator>
  <cp:keywords/>
  <dc:description/>
  <cp:lastModifiedBy>Djampa Kozlowski</cp:lastModifiedBy>
  <cp:revision/>
  <dcterms:created xsi:type="dcterms:W3CDTF">2015-06-05T18:19:34Z</dcterms:created>
  <dcterms:modified xsi:type="dcterms:W3CDTF">2025-09-17T12:04:29Z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0x0101005CB164B3AF959B47BC0AD0BF10C182BD</vt:lpwstr>
  </property>
</Properties>
</file>